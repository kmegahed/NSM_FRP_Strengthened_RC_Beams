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ama\OneDrive\Desktop\"/>
    </mc:Choice>
  </mc:AlternateContent>
  <xr:revisionPtr revIDLastSave="0" documentId="13_ncr:1_{3811D047-CC36-4A09-85A2-73D0AF56E860}" xr6:coauthVersionLast="47" xr6:coauthVersionMax="47" xr10:uidLastSave="{00000000-0000-0000-0000-000000000000}"/>
  <bookViews>
    <workbookView xWindow="-108" yWindow="-108" windowWidth="22320" windowHeight="13176" xr2:uid="{3BE4439B-62E4-4ECE-A7DD-16F736FECE55}"/>
  </bookViews>
  <sheets>
    <sheet name="1_17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0" i="2" l="1"/>
  <c r="D229" i="2"/>
  <c r="D228" i="2"/>
  <c r="D227" i="2"/>
  <c r="J238" i="2"/>
  <c r="J239" i="2"/>
  <c r="J240" i="2"/>
  <c r="J237" i="2"/>
  <c r="D240" i="2"/>
  <c r="D239" i="2"/>
  <c r="D238" i="2"/>
  <c r="D237" i="2"/>
  <c r="D236" i="2"/>
  <c r="D235" i="2"/>
  <c r="D234" i="2"/>
  <c r="D233" i="2"/>
  <c r="D232" i="2"/>
  <c r="D231" i="2"/>
  <c r="AE2" i="2"/>
  <c r="AE3" i="2"/>
  <c r="AE4" i="2"/>
  <c r="AE5" i="2"/>
  <c r="AE6" i="2"/>
  <c r="AE7" i="2"/>
  <c r="AE8" i="2"/>
  <c r="AE9" i="2"/>
  <c r="AE10" i="2"/>
  <c r="AE11" i="2"/>
  <c r="AE12" i="2"/>
  <c r="AE13" i="2"/>
  <c r="AE22" i="2"/>
  <c r="AE23" i="2"/>
  <c r="AE24" i="2"/>
  <c r="AE25" i="2"/>
  <c r="AE27" i="2"/>
  <c r="AE28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53" i="2"/>
  <c r="AE54" i="2"/>
  <c r="AE55" i="2"/>
  <c r="AE56" i="2"/>
  <c r="AE57" i="2"/>
  <c r="AE159" i="2"/>
  <c r="AE237" i="2"/>
  <c r="AE238" i="2"/>
  <c r="AE256" i="2"/>
  <c r="AE257" i="2"/>
  <c r="AE258" i="2"/>
  <c r="AE259" i="2"/>
  <c r="D207" i="2"/>
  <c r="D206" i="2"/>
  <c r="D205" i="2"/>
  <c r="D204" i="2"/>
  <c r="D203" i="2"/>
  <c r="D158" i="2"/>
  <c r="D157" i="2"/>
  <c r="D156" i="2"/>
  <c r="D155" i="2"/>
  <c r="AA47" i="2"/>
  <c r="AA48" i="2"/>
  <c r="AA21" i="2"/>
  <c r="W21" i="2" s="1"/>
  <c r="AA20" i="2"/>
  <c r="W20" i="2" s="1"/>
  <c r="AA19" i="2"/>
  <c r="W19" i="2" s="1"/>
  <c r="AA17" i="2"/>
  <c r="W17" i="2" s="1"/>
  <c r="AA15" i="2"/>
  <c r="W15" i="2" s="1"/>
  <c r="D14" i="2"/>
  <c r="D15" i="2"/>
  <c r="D16" i="2"/>
  <c r="D17" i="2"/>
  <c r="Z15" i="2"/>
  <c r="Z17" i="2"/>
  <c r="AB207" i="2" l="1"/>
  <c r="AB206" i="2"/>
  <c r="AB205" i="2"/>
  <c r="AB204" i="2"/>
  <c r="AA63" i="2"/>
  <c r="W63" i="2" s="1"/>
  <c r="AA62" i="2"/>
  <c r="W62" i="2" s="1"/>
  <c r="AA61" i="2"/>
  <c r="W61" i="2" s="1"/>
  <c r="AA267" i="2"/>
  <c r="W267" i="2" s="1"/>
  <c r="AA266" i="2"/>
  <c r="W266" i="2" s="1"/>
  <c r="AA265" i="2"/>
  <c r="W265" i="2" s="1"/>
  <c r="X265" i="2" s="1"/>
  <c r="AA264" i="2"/>
  <c r="W264" i="2" s="1"/>
  <c r="AA263" i="2"/>
  <c r="W263" i="2" s="1"/>
  <c r="Y263" i="2" s="1"/>
  <c r="AA262" i="2"/>
  <c r="W262" i="2" s="1"/>
  <c r="D267" i="2"/>
  <c r="D266" i="2"/>
  <c r="D265" i="2"/>
  <c r="D264" i="2"/>
  <c r="D263" i="2"/>
  <c r="D262" i="2"/>
  <c r="D261" i="2"/>
  <c r="D260" i="2"/>
  <c r="R261" i="2"/>
  <c r="S261" i="2" s="1"/>
  <c r="P261" i="2"/>
  <c r="L261" i="2"/>
  <c r="M261" i="2" s="1"/>
  <c r="R264" i="2"/>
  <c r="S264" i="2" s="1"/>
  <c r="P264" i="2"/>
  <c r="L264" i="2"/>
  <c r="M264" i="2" s="1"/>
  <c r="L267" i="2"/>
  <c r="M267" i="2" s="1"/>
  <c r="L266" i="2"/>
  <c r="M266" i="2" s="1"/>
  <c r="L265" i="2"/>
  <c r="M265" i="2" s="1"/>
  <c r="L263" i="2"/>
  <c r="M263" i="2" s="1"/>
  <c r="L262" i="2"/>
  <c r="M262" i="2" s="1"/>
  <c r="L260" i="2"/>
  <c r="M260" i="2" s="1"/>
  <c r="R267" i="2"/>
  <c r="S267" i="2" s="1"/>
  <c r="R266" i="2"/>
  <c r="S266" i="2" s="1"/>
  <c r="R265" i="2"/>
  <c r="S265" i="2" s="1"/>
  <c r="R263" i="2"/>
  <c r="S263" i="2" s="1"/>
  <c r="R262" i="2"/>
  <c r="S262" i="2" s="1"/>
  <c r="R260" i="2"/>
  <c r="S260" i="2" s="1"/>
  <c r="W259" i="2"/>
  <c r="X259" i="2" s="1"/>
  <c r="W257" i="2"/>
  <c r="X257" i="2" s="1"/>
  <c r="AA259" i="2"/>
  <c r="AA257" i="2"/>
  <c r="L257" i="2"/>
  <c r="N257" i="2" s="1"/>
  <c r="L258" i="2"/>
  <c r="N258" i="2" s="1"/>
  <c r="L259" i="2"/>
  <c r="N259" i="2" s="1"/>
  <c r="L256" i="2"/>
  <c r="N256" i="2" s="1"/>
  <c r="AA255" i="2"/>
  <c r="W255" i="2" s="1"/>
  <c r="AA254" i="2"/>
  <c r="W254" i="2" s="1"/>
  <c r="AA253" i="2"/>
  <c r="W253" i="2" s="1"/>
  <c r="AA252" i="2"/>
  <c r="W252" i="2" s="1"/>
  <c r="X252" i="2" s="1"/>
  <c r="AA251" i="2"/>
  <c r="W251" i="2" s="1"/>
  <c r="X251" i="2" s="1"/>
  <c r="AA250" i="2"/>
  <c r="W250" i="2" s="1"/>
  <c r="X250" i="2" s="1"/>
  <c r="R255" i="2"/>
  <c r="S255" i="2" s="1"/>
  <c r="R254" i="2"/>
  <c r="S254" i="2" s="1"/>
  <c r="R253" i="2"/>
  <c r="S253" i="2" s="1"/>
  <c r="R252" i="2"/>
  <c r="S252" i="2" s="1"/>
  <c r="R251" i="2"/>
  <c r="S251" i="2" s="1"/>
  <c r="R250" i="2"/>
  <c r="S250" i="2" s="1"/>
  <c r="R249" i="2"/>
  <c r="S249" i="2" s="1"/>
  <c r="L255" i="2"/>
  <c r="N255" i="2" s="1"/>
  <c r="L254" i="2"/>
  <c r="M254" i="2" s="1"/>
  <c r="L253" i="2"/>
  <c r="M253" i="2" s="1"/>
  <c r="L252" i="2"/>
  <c r="M252" i="2" s="1"/>
  <c r="L251" i="2"/>
  <c r="M251" i="2" s="1"/>
  <c r="L250" i="2"/>
  <c r="M250" i="2" s="1"/>
  <c r="L249" i="2"/>
  <c r="N249" i="2" s="1"/>
  <c r="Q249" i="2"/>
  <c r="P249" i="2"/>
  <c r="I249" i="2"/>
  <c r="AB255" i="2"/>
  <c r="Q255" i="2"/>
  <c r="P255" i="2"/>
  <c r="I255" i="2"/>
  <c r="AB254" i="2"/>
  <c r="Q254" i="2"/>
  <c r="P254" i="2"/>
  <c r="I254" i="2"/>
  <c r="AB253" i="2"/>
  <c r="Q253" i="2"/>
  <c r="P253" i="2"/>
  <c r="I253" i="2"/>
  <c r="L248" i="2"/>
  <c r="M248" i="2" s="1"/>
  <c r="L247" i="2"/>
  <c r="M247" i="2" s="1"/>
  <c r="L246" i="2"/>
  <c r="N246" i="2" s="1"/>
  <c r="L245" i="2"/>
  <c r="N245" i="2" s="1"/>
  <c r="L244" i="2"/>
  <c r="N244" i="2" s="1"/>
  <c r="L243" i="2"/>
  <c r="N243" i="2" s="1"/>
  <c r="L242" i="2"/>
  <c r="N242" i="2" s="1"/>
  <c r="L241" i="2"/>
  <c r="N241" i="2" s="1"/>
  <c r="AB240" i="2"/>
  <c r="AB239" i="2"/>
  <c r="AA248" i="2"/>
  <c r="AA247" i="2"/>
  <c r="AA246" i="2"/>
  <c r="W246" i="2" s="1"/>
  <c r="X246" i="2" s="1"/>
  <c r="AA245" i="2"/>
  <c r="W245" i="2" s="1"/>
  <c r="X245" i="2" s="1"/>
  <c r="AA244" i="2"/>
  <c r="W244" i="2" s="1"/>
  <c r="X244" i="2" s="1"/>
  <c r="AA243" i="2"/>
  <c r="W243" i="2" s="1"/>
  <c r="X243" i="2" s="1"/>
  <c r="AA242" i="2"/>
  <c r="W242" i="2" s="1"/>
  <c r="X242" i="2" s="1"/>
  <c r="AA241" i="2"/>
  <c r="W241" i="2" s="1"/>
  <c r="X241" i="2" s="1"/>
  <c r="W240" i="2"/>
  <c r="X240" i="2" s="1"/>
  <c r="W239" i="2"/>
  <c r="X239" i="2" s="1"/>
  <c r="R235" i="2"/>
  <c r="R234" i="2"/>
  <c r="R233" i="2"/>
  <c r="R232" i="2"/>
  <c r="R231" i="2"/>
  <c r="R236" i="2"/>
  <c r="R240" i="2"/>
  <c r="S240" i="2" s="1"/>
  <c r="R239" i="2"/>
  <c r="S239" i="2" s="1"/>
  <c r="R238" i="2"/>
  <c r="S238" i="2" s="1"/>
  <c r="R237" i="2"/>
  <c r="S237" i="2" s="1"/>
  <c r="Q240" i="2"/>
  <c r="Q238" i="2"/>
  <c r="L240" i="2"/>
  <c r="M240" i="2" s="1"/>
  <c r="L238" i="2"/>
  <c r="M238" i="2" s="1"/>
  <c r="Q236" i="2"/>
  <c r="L236" i="2"/>
  <c r="N236" i="2" s="1"/>
  <c r="AC236" i="2"/>
  <c r="AC235" i="2"/>
  <c r="AC234" i="2"/>
  <c r="AC233" i="2"/>
  <c r="AC232" i="2"/>
  <c r="AC231" i="2"/>
  <c r="AB231" i="2"/>
  <c r="AB232" i="2"/>
  <c r="AB233" i="2"/>
  <c r="AB234" i="2"/>
  <c r="AB235" i="2"/>
  <c r="AB236" i="2"/>
  <c r="W236" i="2"/>
  <c r="AA236" i="2" s="1"/>
  <c r="W235" i="2"/>
  <c r="AA235" i="2" s="1"/>
  <c r="W234" i="2"/>
  <c r="AA234" i="2" s="1"/>
  <c r="W233" i="2"/>
  <c r="Y233" i="2" s="1"/>
  <c r="W232" i="2"/>
  <c r="Y232" i="2" s="1"/>
  <c r="W231" i="2"/>
  <c r="Y231" i="2" s="1"/>
  <c r="AB228" i="2"/>
  <c r="AB226" i="2"/>
  <c r="AB225" i="2"/>
  <c r="AB224" i="2"/>
  <c r="AB223" i="2"/>
  <c r="AB222" i="2"/>
  <c r="AB221" i="2"/>
  <c r="AB220" i="2"/>
  <c r="AB219" i="2"/>
  <c r="AB218" i="2"/>
  <c r="AB217" i="2"/>
  <c r="AA230" i="2"/>
  <c r="W230" i="2" s="1"/>
  <c r="Y230" i="2" s="1"/>
  <c r="AA229" i="2"/>
  <c r="W229" i="2" s="1"/>
  <c r="Y229" i="2" s="1"/>
  <c r="AA228" i="2"/>
  <c r="W228" i="2" s="1"/>
  <c r="Q230" i="2"/>
  <c r="Q229" i="2"/>
  <c r="Q228" i="2"/>
  <c r="Q227" i="2"/>
  <c r="R230" i="2"/>
  <c r="S230" i="2" s="1"/>
  <c r="R229" i="2"/>
  <c r="S229" i="2" s="1"/>
  <c r="R228" i="2"/>
  <c r="S228" i="2" s="1"/>
  <c r="R227" i="2"/>
  <c r="S227" i="2" s="1"/>
  <c r="L230" i="2"/>
  <c r="N230" i="2" s="1"/>
  <c r="L229" i="2"/>
  <c r="M229" i="2" s="1"/>
  <c r="L228" i="2"/>
  <c r="M228" i="2" s="1"/>
  <c r="L227" i="2"/>
  <c r="N227" i="2" s="1"/>
  <c r="J230" i="2"/>
  <c r="J229" i="2"/>
  <c r="J228" i="2"/>
  <c r="J227" i="2"/>
  <c r="AA221" i="2"/>
  <c r="W221" i="2" s="1"/>
  <c r="X221" i="2" s="1"/>
  <c r="AA220" i="2"/>
  <c r="W220" i="2" s="1"/>
  <c r="X220" i="2" s="1"/>
  <c r="AA219" i="2"/>
  <c r="W219" i="2" s="1"/>
  <c r="Y219" i="2" s="1"/>
  <c r="AA218" i="2"/>
  <c r="W218" i="2" s="1"/>
  <c r="X218" i="2" s="1"/>
  <c r="AA217" i="2"/>
  <c r="W217" i="2" s="1"/>
  <c r="X217" i="2" s="1"/>
  <c r="AC226" i="2"/>
  <c r="AC225" i="2"/>
  <c r="AC224" i="2"/>
  <c r="AC223" i="2"/>
  <c r="AC222" i="2"/>
  <c r="R226" i="2"/>
  <c r="S226" i="2" s="1"/>
  <c r="R225" i="2"/>
  <c r="S225" i="2" s="1"/>
  <c r="R224" i="2"/>
  <c r="S224" i="2" s="1"/>
  <c r="R223" i="2"/>
  <c r="S223" i="2" s="1"/>
  <c r="R222" i="2"/>
  <c r="S222" i="2" s="1"/>
  <c r="R221" i="2"/>
  <c r="S221" i="2" s="1"/>
  <c r="R220" i="2"/>
  <c r="S220" i="2" s="1"/>
  <c r="R219" i="2"/>
  <c r="S219" i="2" s="1"/>
  <c r="R218" i="2"/>
  <c r="S218" i="2" s="1"/>
  <c r="R217" i="2"/>
  <c r="S217" i="2" s="1"/>
  <c r="R216" i="2"/>
  <c r="S216" i="2" s="1"/>
  <c r="Q222" i="2"/>
  <c r="Q221" i="2"/>
  <c r="Q220" i="2"/>
  <c r="Q219" i="2"/>
  <c r="Q218" i="2"/>
  <c r="Q217" i="2"/>
  <c r="Q216" i="2"/>
  <c r="L221" i="2"/>
  <c r="N221" i="2" s="1"/>
  <c r="P221" i="2" s="1"/>
  <c r="L220" i="2"/>
  <c r="M220" i="2" s="1"/>
  <c r="L219" i="2"/>
  <c r="N219" i="2" s="1"/>
  <c r="P219" i="2" s="1"/>
  <c r="L218" i="2"/>
  <c r="N218" i="2" s="1"/>
  <c r="P218" i="2" s="1"/>
  <c r="L217" i="2"/>
  <c r="M217" i="2" s="1"/>
  <c r="L216" i="2"/>
  <c r="M216" i="2" s="1"/>
  <c r="L226" i="2"/>
  <c r="N226" i="2" s="1"/>
  <c r="L225" i="2"/>
  <c r="N225" i="2" s="1"/>
  <c r="L224" i="2"/>
  <c r="N224" i="2" s="1"/>
  <c r="L223" i="2"/>
  <c r="M223" i="2" s="1"/>
  <c r="L222" i="2"/>
  <c r="N222" i="2" s="1"/>
  <c r="P222" i="2" s="1"/>
  <c r="J226" i="2"/>
  <c r="J225" i="2"/>
  <c r="J224" i="2"/>
  <c r="J223" i="2"/>
  <c r="J222" i="2"/>
  <c r="J221" i="2"/>
  <c r="J220" i="2"/>
  <c r="J219" i="2"/>
  <c r="J218" i="2"/>
  <c r="J217" i="2"/>
  <c r="J216" i="2"/>
  <c r="I221" i="2"/>
  <c r="I220" i="2"/>
  <c r="I219" i="2"/>
  <c r="I218" i="2"/>
  <c r="I217" i="2"/>
  <c r="I216" i="2"/>
  <c r="J215" i="2"/>
  <c r="J214" i="2"/>
  <c r="J213" i="2"/>
  <c r="J212" i="2"/>
  <c r="J211" i="2"/>
  <c r="J210" i="2"/>
  <c r="J209" i="2"/>
  <c r="J208" i="2"/>
  <c r="L215" i="2"/>
  <c r="M215" i="2" s="1"/>
  <c r="L214" i="2"/>
  <c r="M214" i="2" s="1"/>
  <c r="L213" i="2"/>
  <c r="M213" i="2" s="1"/>
  <c r="L212" i="2"/>
  <c r="M212" i="2" s="1"/>
  <c r="L211" i="2"/>
  <c r="M211" i="2" s="1"/>
  <c r="L210" i="2"/>
  <c r="M210" i="2" s="1"/>
  <c r="L209" i="2"/>
  <c r="M209" i="2" s="1"/>
  <c r="L208" i="2"/>
  <c r="M208" i="2" s="1"/>
  <c r="R215" i="2"/>
  <c r="S215" i="2" s="1"/>
  <c r="R214" i="2"/>
  <c r="S214" i="2" s="1"/>
  <c r="R213" i="2"/>
  <c r="S213" i="2" s="1"/>
  <c r="R212" i="2"/>
  <c r="S212" i="2" s="1"/>
  <c r="R211" i="2"/>
  <c r="S211" i="2" s="1"/>
  <c r="R210" i="2"/>
  <c r="S210" i="2" s="1"/>
  <c r="R209" i="2"/>
  <c r="S209" i="2" s="1"/>
  <c r="R208" i="2"/>
  <c r="S208" i="2" s="1"/>
  <c r="AA212" i="2"/>
  <c r="W212" i="2" s="1"/>
  <c r="X212" i="2" s="1"/>
  <c r="AA211" i="2"/>
  <c r="W211" i="2" s="1"/>
  <c r="X211" i="2" s="1"/>
  <c r="AA210" i="2"/>
  <c r="W210" i="2" s="1"/>
  <c r="X210" i="2" s="1"/>
  <c r="AA209" i="2"/>
  <c r="W209" i="2" s="1"/>
  <c r="X209" i="2" s="1"/>
  <c r="AA213" i="2"/>
  <c r="W213" i="2" s="1"/>
  <c r="X213" i="2" s="1"/>
  <c r="W215" i="2"/>
  <c r="X215" i="2" s="1"/>
  <c r="W214" i="2"/>
  <c r="X214" i="2" s="1"/>
  <c r="AB215" i="2"/>
  <c r="AB214" i="2"/>
  <c r="AB213" i="2"/>
  <c r="AB212" i="2"/>
  <c r="AB211" i="2"/>
  <c r="AB210" i="2"/>
  <c r="AB209" i="2"/>
  <c r="AA207" i="2"/>
  <c r="W207" i="2" s="1"/>
  <c r="Y207" i="2" s="1"/>
  <c r="AA206" i="2"/>
  <c r="W206" i="2" s="1"/>
  <c r="AA205" i="2"/>
  <c r="W205" i="2" s="1"/>
  <c r="AA204" i="2"/>
  <c r="W204" i="2" s="1"/>
  <c r="R207" i="2"/>
  <c r="S207" i="2" s="1"/>
  <c r="R206" i="2"/>
  <c r="S206" i="2" s="1"/>
  <c r="R205" i="2"/>
  <c r="S205" i="2" s="1"/>
  <c r="R204" i="2"/>
  <c r="S204" i="2" s="1"/>
  <c r="R203" i="2"/>
  <c r="S203" i="2" s="1"/>
  <c r="J204" i="2"/>
  <c r="J205" i="2"/>
  <c r="J206" i="2"/>
  <c r="J207" i="2"/>
  <c r="J203" i="2"/>
  <c r="G203" i="2"/>
  <c r="I203" i="2" s="1"/>
  <c r="AA202" i="2"/>
  <c r="W202" i="2" s="1"/>
  <c r="AA201" i="2"/>
  <c r="W201" i="2" s="1"/>
  <c r="AA200" i="2"/>
  <c r="W200" i="2" s="1"/>
  <c r="Y200" i="2" s="1"/>
  <c r="AA199" i="2"/>
  <c r="W199" i="2" s="1"/>
  <c r="AA198" i="2"/>
  <c r="W198" i="2" s="1"/>
  <c r="AA197" i="2"/>
  <c r="W197" i="2" s="1"/>
  <c r="Y197" i="2" s="1"/>
  <c r="AA196" i="2"/>
  <c r="W196" i="2" s="1"/>
  <c r="AA195" i="2"/>
  <c r="AB194" i="2"/>
  <c r="AA194" i="2"/>
  <c r="W194" i="2" s="1"/>
  <c r="Y194" i="2" s="1"/>
  <c r="R194" i="2"/>
  <c r="S194" i="2" s="1"/>
  <c r="Q194" i="2"/>
  <c r="P194" i="2"/>
  <c r="L194" i="2"/>
  <c r="M194" i="2" s="1"/>
  <c r="J194" i="2"/>
  <c r="AB193" i="2"/>
  <c r="AA193" i="2"/>
  <c r="W193" i="2" s="1"/>
  <c r="R193" i="2"/>
  <c r="S193" i="2" s="1"/>
  <c r="Q193" i="2"/>
  <c r="P193" i="2"/>
  <c r="L193" i="2"/>
  <c r="M193" i="2" s="1"/>
  <c r="J193" i="2"/>
  <c r="R202" i="2"/>
  <c r="S202" i="2" s="1"/>
  <c r="R201" i="2"/>
  <c r="S201" i="2" s="1"/>
  <c r="R200" i="2"/>
  <c r="S200" i="2" s="1"/>
  <c r="R199" i="2"/>
  <c r="S199" i="2" s="1"/>
  <c r="R198" i="2"/>
  <c r="S198" i="2" s="1"/>
  <c r="R197" i="2"/>
  <c r="S197" i="2" s="1"/>
  <c r="R196" i="2"/>
  <c r="S196" i="2" s="1"/>
  <c r="R195" i="2"/>
  <c r="S195" i="2" s="1"/>
  <c r="Q202" i="2"/>
  <c r="Q201" i="2"/>
  <c r="Q196" i="2"/>
  <c r="Q195" i="2"/>
  <c r="Q200" i="2"/>
  <c r="Q199" i="2"/>
  <c r="Q198" i="2"/>
  <c r="Q197" i="2"/>
  <c r="L202" i="2"/>
  <c r="M202" i="2" s="1"/>
  <c r="L201" i="2"/>
  <c r="N201" i="2" s="1"/>
  <c r="L196" i="2"/>
  <c r="M196" i="2" s="1"/>
  <c r="L195" i="2"/>
  <c r="M195" i="2" s="1"/>
  <c r="L200" i="2"/>
  <c r="N200" i="2" s="1"/>
  <c r="L199" i="2"/>
  <c r="N199" i="2" s="1"/>
  <c r="L198" i="2"/>
  <c r="N198" i="2" s="1"/>
  <c r="L197" i="2"/>
  <c r="N197" i="2" s="1"/>
  <c r="AB189" i="2"/>
  <c r="AB190" i="2"/>
  <c r="AB191" i="2"/>
  <c r="AB192" i="2"/>
  <c r="J186" i="2"/>
  <c r="L186" i="2"/>
  <c r="M186" i="2" s="1"/>
  <c r="Q186" i="2"/>
  <c r="R186" i="2"/>
  <c r="S186" i="2" s="1"/>
  <c r="AB187" i="2"/>
  <c r="AA192" i="2"/>
  <c r="W192" i="2" s="1"/>
  <c r="Y192" i="2" s="1"/>
  <c r="AA191" i="2"/>
  <c r="W191" i="2" s="1"/>
  <c r="Y191" i="2" s="1"/>
  <c r="AA190" i="2"/>
  <c r="W190" i="2" s="1"/>
  <c r="AA189" i="2"/>
  <c r="W189" i="2" s="1"/>
  <c r="AA188" i="2"/>
  <c r="W188" i="2" s="1"/>
  <c r="AA187" i="2"/>
  <c r="W187" i="2" s="1"/>
  <c r="R192" i="2"/>
  <c r="S192" i="2" s="1"/>
  <c r="R191" i="2"/>
  <c r="S191" i="2" s="1"/>
  <c r="R190" i="2"/>
  <c r="S190" i="2" s="1"/>
  <c r="R189" i="2"/>
  <c r="S189" i="2" s="1"/>
  <c r="R188" i="2"/>
  <c r="S188" i="2" s="1"/>
  <c r="R187" i="2"/>
  <c r="S187" i="2" s="1"/>
  <c r="Q192" i="2"/>
  <c r="Q191" i="2"/>
  <c r="Q190" i="2"/>
  <c r="Q189" i="2"/>
  <c r="Q188" i="2"/>
  <c r="Q187" i="2"/>
  <c r="L192" i="2"/>
  <c r="M192" i="2" s="1"/>
  <c r="L191" i="2"/>
  <c r="N191" i="2" s="1"/>
  <c r="L190" i="2"/>
  <c r="N190" i="2" s="1"/>
  <c r="L189" i="2"/>
  <c r="M189" i="2" s="1"/>
  <c r="L188" i="2"/>
  <c r="N188" i="2" s="1"/>
  <c r="L187" i="2"/>
  <c r="N187" i="2" s="1"/>
  <c r="J187" i="2"/>
  <c r="J188" i="2"/>
  <c r="J189" i="2"/>
  <c r="J190" i="2"/>
  <c r="J191" i="2"/>
  <c r="J192" i="2"/>
  <c r="AB185" i="2"/>
  <c r="AB184" i="2"/>
  <c r="AB183" i="2"/>
  <c r="AA184" i="2"/>
  <c r="W184" i="2" s="1"/>
  <c r="AA185" i="2"/>
  <c r="W185" i="2" s="1"/>
  <c r="AA183" i="2"/>
  <c r="W183" i="2" s="1"/>
  <c r="X183" i="2" s="1"/>
  <c r="P185" i="2"/>
  <c r="P184" i="2"/>
  <c r="P182" i="2"/>
  <c r="P181" i="2"/>
  <c r="Q185" i="2"/>
  <c r="Q184" i="2"/>
  <c r="Q182" i="2"/>
  <c r="Q181" i="2"/>
  <c r="L185" i="2"/>
  <c r="N185" i="2" s="1"/>
  <c r="L184" i="2"/>
  <c r="N184" i="2" s="1"/>
  <c r="L182" i="2"/>
  <c r="M182" i="2" s="1"/>
  <c r="L181" i="2"/>
  <c r="M181" i="2" s="1"/>
  <c r="R185" i="2"/>
  <c r="S185" i="2" s="1"/>
  <c r="R184" i="2"/>
  <c r="S184" i="2" s="1"/>
  <c r="R183" i="2"/>
  <c r="S183" i="2" s="1"/>
  <c r="R182" i="2"/>
  <c r="S182" i="2" s="1"/>
  <c r="R181" i="2"/>
  <c r="S181" i="2" s="1"/>
  <c r="R180" i="2"/>
  <c r="S180" i="2" s="1"/>
  <c r="AC179" i="2"/>
  <c r="AC178" i="2"/>
  <c r="R177" i="2"/>
  <c r="I177" i="2"/>
  <c r="R178" i="2"/>
  <c r="R179" i="2"/>
  <c r="AC176" i="2"/>
  <c r="AC174" i="2"/>
  <c r="AC175" i="2"/>
  <c r="AC173" i="2"/>
  <c r="AC172" i="2"/>
  <c r="AC171" i="2"/>
  <c r="AC170" i="2"/>
  <c r="AC169" i="2"/>
  <c r="AB176" i="2"/>
  <c r="AB175" i="2"/>
  <c r="AB174" i="2"/>
  <c r="AB173" i="2"/>
  <c r="AB172" i="2"/>
  <c r="AB171" i="2"/>
  <c r="AB170" i="2"/>
  <c r="AB169" i="2"/>
  <c r="L176" i="2"/>
  <c r="M176" i="2" s="1"/>
  <c r="L175" i="2"/>
  <c r="M175" i="2" s="1"/>
  <c r="L174" i="2"/>
  <c r="M174" i="2" s="1"/>
  <c r="L173" i="2"/>
  <c r="M173" i="2" s="1"/>
  <c r="L172" i="2"/>
  <c r="M172" i="2" s="1"/>
  <c r="L171" i="2"/>
  <c r="M171" i="2" s="1"/>
  <c r="L170" i="2"/>
  <c r="M170" i="2" s="1"/>
  <c r="L169" i="2"/>
  <c r="M169" i="2" s="1"/>
  <c r="L168" i="2"/>
  <c r="S168" i="2"/>
  <c r="Q168" i="2"/>
  <c r="P168" i="2"/>
  <c r="S171" i="2"/>
  <c r="S172" i="2"/>
  <c r="S173" i="2"/>
  <c r="S174" i="2"/>
  <c r="S175" i="2"/>
  <c r="S176" i="2"/>
  <c r="S170" i="2"/>
  <c r="S169" i="2"/>
  <c r="Q170" i="2"/>
  <c r="S166" i="2"/>
  <c r="S167" i="2"/>
  <c r="S165" i="2"/>
  <c r="AB167" i="2"/>
  <c r="AB166" i="2"/>
  <c r="W167" i="2"/>
  <c r="X167" i="2" s="1"/>
  <c r="W166" i="2"/>
  <c r="X166" i="2" s="1"/>
  <c r="AA161" i="2"/>
  <c r="W161" i="2" s="1"/>
  <c r="X161" i="2" s="1"/>
  <c r="AA162" i="2"/>
  <c r="W162" i="2" s="1"/>
  <c r="AA163" i="2"/>
  <c r="W163" i="2" s="1"/>
  <c r="X163" i="2" s="1"/>
  <c r="AA164" i="2"/>
  <c r="W164" i="2" s="1"/>
  <c r="X164" i="2" s="1"/>
  <c r="AA160" i="2"/>
  <c r="W160" i="2" s="1"/>
  <c r="L100" i="2"/>
  <c r="N100" i="2" s="1"/>
  <c r="L99" i="2"/>
  <c r="N99" i="2" s="1"/>
  <c r="L98" i="2"/>
  <c r="N98" i="2" s="1"/>
  <c r="L97" i="2"/>
  <c r="N97" i="2" s="1"/>
  <c r="L96" i="2"/>
  <c r="N96" i="2" s="1"/>
  <c r="L95" i="2"/>
  <c r="N95" i="2" s="1"/>
  <c r="L94" i="2"/>
  <c r="N94" i="2" s="1"/>
  <c r="L93" i="2"/>
  <c r="N93" i="2" s="1"/>
  <c r="L92" i="2"/>
  <c r="N92" i="2" s="1"/>
  <c r="L91" i="2"/>
  <c r="N91" i="2" s="1"/>
  <c r="L90" i="2"/>
  <c r="N90" i="2" s="1"/>
  <c r="L89" i="2"/>
  <c r="N89" i="2" s="1"/>
  <c r="Q159" i="2"/>
  <c r="P159" i="2"/>
  <c r="R159" i="2"/>
  <c r="S159" i="2" s="1"/>
  <c r="R161" i="2"/>
  <c r="S161" i="2" s="1"/>
  <c r="R162" i="2"/>
  <c r="S162" i="2" s="1"/>
  <c r="R163" i="2"/>
  <c r="S163" i="2" s="1"/>
  <c r="R164" i="2"/>
  <c r="S164" i="2" s="1"/>
  <c r="R160" i="2"/>
  <c r="S160" i="2" s="1"/>
  <c r="I159" i="2"/>
  <c r="L164" i="2"/>
  <c r="N164" i="2" s="1"/>
  <c r="L163" i="2"/>
  <c r="N163" i="2" s="1"/>
  <c r="L162" i="2"/>
  <c r="M162" i="2" s="1"/>
  <c r="L161" i="2"/>
  <c r="M161" i="2" s="1"/>
  <c r="L160" i="2"/>
  <c r="M160" i="2" s="1"/>
  <c r="L159" i="2"/>
  <c r="M159" i="2" s="1"/>
  <c r="AB132" i="2"/>
  <c r="AB131" i="2"/>
  <c r="AB130" i="2"/>
  <c r="AB129" i="2"/>
  <c r="AB128" i="2"/>
  <c r="AB127" i="2"/>
  <c r="AB126" i="2"/>
  <c r="Q131" i="2"/>
  <c r="Q132" i="2"/>
  <c r="L132" i="2"/>
  <c r="M132" i="2" s="1"/>
  <c r="L131" i="2"/>
  <c r="M131" i="2" s="1"/>
  <c r="L130" i="2"/>
  <c r="M130" i="2" s="1"/>
  <c r="L129" i="2"/>
  <c r="M129" i="2" s="1"/>
  <c r="L128" i="2"/>
  <c r="M128" i="2" s="1"/>
  <c r="L127" i="2"/>
  <c r="M127" i="2" s="1"/>
  <c r="L126" i="2"/>
  <c r="N126" i="2" s="1"/>
  <c r="L125" i="2"/>
  <c r="N125" i="2" s="1"/>
  <c r="AB100" i="2"/>
  <c r="AB99" i="2"/>
  <c r="AB98" i="2"/>
  <c r="AB97" i="2"/>
  <c r="AB96" i="2"/>
  <c r="AB94" i="2"/>
  <c r="AB93" i="2"/>
  <c r="AB92" i="2"/>
  <c r="AB91" i="2"/>
  <c r="AB90" i="2"/>
  <c r="Q134" i="2"/>
  <c r="Q143" i="2"/>
  <c r="L149" i="2"/>
  <c r="M149" i="2" s="1"/>
  <c r="L148" i="2"/>
  <c r="M148" i="2" s="1"/>
  <c r="L147" i="2"/>
  <c r="M147" i="2" s="1"/>
  <c r="L146" i="2"/>
  <c r="M146" i="2" s="1"/>
  <c r="L145" i="2"/>
  <c r="M145" i="2" s="1"/>
  <c r="L144" i="2"/>
  <c r="M144" i="2" s="1"/>
  <c r="L143" i="2"/>
  <c r="M143" i="2" s="1"/>
  <c r="L142" i="2"/>
  <c r="M142" i="2" s="1"/>
  <c r="L141" i="2"/>
  <c r="M141" i="2" s="1"/>
  <c r="L140" i="2"/>
  <c r="M140" i="2" s="1"/>
  <c r="L139" i="2"/>
  <c r="M139" i="2" s="1"/>
  <c r="L138" i="2"/>
  <c r="M138" i="2" s="1"/>
  <c r="L137" i="2"/>
  <c r="M137" i="2" s="1"/>
  <c r="L136" i="2"/>
  <c r="M136" i="2" s="1"/>
  <c r="L135" i="2"/>
  <c r="M135" i="2" s="1"/>
  <c r="L134" i="2"/>
  <c r="M134" i="2" s="1"/>
  <c r="AB124" i="2"/>
  <c r="AB123" i="2"/>
  <c r="AB122" i="2"/>
  <c r="AB121" i="2"/>
  <c r="AB120" i="2"/>
  <c r="AB119" i="2"/>
  <c r="AB118" i="2"/>
  <c r="AB117" i="2"/>
  <c r="AB116" i="2"/>
  <c r="AA124" i="2"/>
  <c r="W124" i="2" s="1"/>
  <c r="Q123" i="2"/>
  <c r="Q122" i="2"/>
  <c r="Q121" i="2"/>
  <c r="Q120" i="2"/>
  <c r="Q119" i="2"/>
  <c r="Q118" i="2"/>
  <c r="Q117" i="2"/>
  <c r="Q116" i="2"/>
  <c r="Q115" i="2"/>
  <c r="Q124" i="2"/>
  <c r="L124" i="2"/>
  <c r="M124" i="2" s="1"/>
  <c r="L123" i="2"/>
  <c r="N123" i="2" s="1"/>
  <c r="L122" i="2"/>
  <c r="M122" i="2" s="1"/>
  <c r="L121" i="2"/>
  <c r="M121" i="2" s="1"/>
  <c r="L120" i="2"/>
  <c r="M120" i="2" s="1"/>
  <c r="L119" i="2"/>
  <c r="N119" i="2" s="1"/>
  <c r="L118" i="2"/>
  <c r="N118" i="2" s="1"/>
  <c r="L117" i="2"/>
  <c r="N117" i="2" s="1"/>
  <c r="L116" i="2"/>
  <c r="N116" i="2" s="1"/>
  <c r="L115" i="2"/>
  <c r="N115" i="2" s="1"/>
  <c r="L114" i="2"/>
  <c r="M114" i="2" s="1"/>
  <c r="S133" i="2"/>
  <c r="S143" i="2"/>
  <c r="S146" i="2"/>
  <c r="S149" i="2"/>
  <c r="S148" i="2"/>
  <c r="S147" i="2"/>
  <c r="S145" i="2"/>
  <c r="S144" i="2"/>
  <c r="S134" i="2"/>
  <c r="S140" i="2"/>
  <c r="S142" i="2"/>
  <c r="S135" i="2"/>
  <c r="S141" i="2"/>
  <c r="S139" i="2"/>
  <c r="S138" i="2"/>
  <c r="S137" i="2"/>
  <c r="S136" i="2"/>
  <c r="S125" i="2"/>
  <c r="S128" i="2"/>
  <c r="S130" i="2"/>
  <c r="S132" i="2"/>
  <c r="S126" i="2"/>
  <c r="S127" i="2"/>
  <c r="S131" i="2"/>
  <c r="S129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J114" i="2"/>
  <c r="J115" i="2"/>
  <c r="J116" i="2"/>
  <c r="J117" i="2"/>
  <c r="J118" i="2"/>
  <c r="J119" i="2"/>
  <c r="J120" i="2"/>
  <c r="J121" i="2"/>
  <c r="J122" i="2"/>
  <c r="J123" i="2"/>
  <c r="J124" i="2"/>
  <c r="J113" i="2"/>
  <c r="Q136" i="2"/>
  <c r="W136" i="2"/>
  <c r="Y136" i="2" s="1"/>
  <c r="AA136" i="2"/>
  <c r="AB112" i="2"/>
  <c r="AB111" i="2"/>
  <c r="AB110" i="2"/>
  <c r="AB109" i="2"/>
  <c r="AB108" i="2"/>
  <c r="AB107" i="2"/>
  <c r="AB106" i="2"/>
  <c r="AB105" i="2"/>
  <c r="AB104" i="2"/>
  <c r="W112" i="2"/>
  <c r="X112" i="2" s="1"/>
  <c r="W111" i="2"/>
  <c r="X111" i="2" s="1"/>
  <c r="W110" i="2"/>
  <c r="X110" i="2" s="1"/>
  <c r="W109" i="2"/>
  <c r="X109" i="2" s="1"/>
  <c r="W108" i="2"/>
  <c r="X108" i="2" s="1"/>
  <c r="W107" i="2"/>
  <c r="X107" i="2" s="1"/>
  <c r="W106" i="2"/>
  <c r="X106" i="2" s="1"/>
  <c r="W105" i="2"/>
  <c r="X105" i="2" s="1"/>
  <c r="W104" i="2"/>
  <c r="X104" i="2" s="1"/>
  <c r="R112" i="2"/>
  <c r="S112" i="2" s="1"/>
  <c r="R111" i="2"/>
  <c r="S111" i="2" s="1"/>
  <c r="R110" i="2"/>
  <c r="S110" i="2" s="1"/>
  <c r="R109" i="2"/>
  <c r="S109" i="2" s="1"/>
  <c r="R108" i="2"/>
  <c r="S108" i="2" s="1"/>
  <c r="R107" i="2"/>
  <c r="S107" i="2" s="1"/>
  <c r="R106" i="2"/>
  <c r="S106" i="2" s="1"/>
  <c r="R105" i="2"/>
  <c r="S105" i="2" s="1"/>
  <c r="R104" i="2"/>
  <c r="S104" i="2" s="1"/>
  <c r="R103" i="2"/>
  <c r="S103" i="2" s="1"/>
  <c r="R102" i="2"/>
  <c r="S102" i="2" s="1"/>
  <c r="R101" i="2"/>
  <c r="S101" i="2" s="1"/>
  <c r="Q103" i="2"/>
  <c r="Q104" i="2"/>
  <c r="Q105" i="2"/>
  <c r="P103" i="2"/>
  <c r="P104" i="2"/>
  <c r="P105" i="2"/>
  <c r="P106" i="2"/>
  <c r="P107" i="2"/>
  <c r="P108" i="2"/>
  <c r="P109" i="2"/>
  <c r="P110" i="2"/>
  <c r="P111" i="2"/>
  <c r="P112" i="2"/>
  <c r="P102" i="2"/>
  <c r="L112" i="2"/>
  <c r="N112" i="2" s="1"/>
  <c r="L111" i="2"/>
  <c r="N111" i="2" s="1"/>
  <c r="L110" i="2"/>
  <c r="N110" i="2" s="1"/>
  <c r="L109" i="2"/>
  <c r="N109" i="2" s="1"/>
  <c r="L108" i="2"/>
  <c r="N108" i="2" s="1"/>
  <c r="L107" i="2"/>
  <c r="N107" i="2" s="1"/>
  <c r="L106" i="2"/>
  <c r="N106" i="2" s="1"/>
  <c r="L105" i="2"/>
  <c r="N105" i="2" s="1"/>
  <c r="L104" i="2"/>
  <c r="N104" i="2" s="1"/>
  <c r="L103" i="2"/>
  <c r="N103" i="2" s="1"/>
  <c r="L102" i="2"/>
  <c r="M102" i="2" s="1"/>
  <c r="W154" i="2"/>
  <c r="X154" i="2" s="1"/>
  <c r="W153" i="2"/>
  <c r="X153" i="2" s="1"/>
  <c r="W152" i="2"/>
  <c r="X152" i="2" s="1"/>
  <c r="W151" i="2"/>
  <c r="X151" i="2" s="1"/>
  <c r="AC154" i="2"/>
  <c r="AC153" i="2"/>
  <c r="AC152" i="2"/>
  <c r="AC151" i="2"/>
  <c r="AB154" i="2"/>
  <c r="AB153" i="2"/>
  <c r="AB152" i="2"/>
  <c r="AB151" i="2"/>
  <c r="T154" i="2"/>
  <c r="T153" i="2"/>
  <c r="T152" i="2"/>
  <c r="T151" i="2"/>
  <c r="T150" i="2"/>
  <c r="R151" i="2"/>
  <c r="S151" i="2" s="1"/>
  <c r="R152" i="2"/>
  <c r="S152" i="2" s="1"/>
  <c r="R153" i="2"/>
  <c r="S153" i="2" s="1"/>
  <c r="R154" i="2"/>
  <c r="S154" i="2" s="1"/>
  <c r="R150" i="2"/>
  <c r="S150" i="2" s="1"/>
  <c r="L154" i="2"/>
  <c r="M154" i="2" s="1"/>
  <c r="L153" i="2"/>
  <c r="M153" i="2" s="1"/>
  <c r="L152" i="2"/>
  <c r="M152" i="2" s="1"/>
  <c r="L151" i="2"/>
  <c r="M151" i="2" s="1"/>
  <c r="L150" i="2"/>
  <c r="M150" i="2" s="1"/>
  <c r="J154" i="2"/>
  <c r="J153" i="2"/>
  <c r="J152" i="2"/>
  <c r="J151" i="2"/>
  <c r="J150" i="2"/>
  <c r="AB80" i="2"/>
  <c r="AB79" i="2"/>
  <c r="AB78" i="2"/>
  <c r="AB77" i="2"/>
  <c r="AB76" i="2"/>
  <c r="AB75" i="2"/>
  <c r="AB74" i="2"/>
  <c r="AB73" i="2"/>
  <c r="AB72" i="2"/>
  <c r="AB71" i="2"/>
  <c r="AB70" i="2"/>
  <c r="AB69" i="2"/>
  <c r="AB68" i="2"/>
  <c r="AB67" i="2"/>
  <c r="AB66" i="2"/>
  <c r="AB65" i="2"/>
  <c r="Z83" i="2"/>
  <c r="AB83" i="2" s="1"/>
  <c r="Z85" i="2"/>
  <c r="AB85" i="2" s="1"/>
  <c r="Z87" i="2"/>
  <c r="AB87" i="2" s="1"/>
  <c r="Z84" i="2"/>
  <c r="AB84" i="2" s="1"/>
  <c r="R82" i="2"/>
  <c r="R83" i="2"/>
  <c r="R84" i="2"/>
  <c r="R85" i="2"/>
  <c r="R86" i="2"/>
  <c r="R87" i="2"/>
  <c r="R81" i="2"/>
  <c r="L87" i="2"/>
  <c r="L86" i="2"/>
  <c r="F87" i="2"/>
  <c r="F86" i="2"/>
  <c r="F85" i="2"/>
  <c r="F84" i="2"/>
  <c r="F83" i="2"/>
  <c r="F82" i="2"/>
  <c r="F81" i="2"/>
  <c r="H87" i="2"/>
  <c r="H86" i="2"/>
  <c r="H85" i="2"/>
  <c r="H84" i="2"/>
  <c r="H83" i="2"/>
  <c r="H82" i="2"/>
  <c r="H81" i="2"/>
  <c r="I87" i="2"/>
  <c r="I86" i="2"/>
  <c r="I85" i="2"/>
  <c r="I84" i="2"/>
  <c r="I83" i="2"/>
  <c r="I82" i="2"/>
  <c r="I81" i="2"/>
  <c r="Z82" i="2"/>
  <c r="AB82" i="2" s="1"/>
  <c r="P86" i="2"/>
  <c r="R156" i="2"/>
  <c r="R157" i="2"/>
  <c r="R158" i="2"/>
  <c r="R155" i="2"/>
  <c r="E156" i="2"/>
  <c r="E157" i="2"/>
  <c r="AB157" i="2" s="1"/>
  <c r="E158" i="2"/>
  <c r="AB158" i="2" s="1"/>
  <c r="E155" i="2"/>
  <c r="L156" i="2"/>
  <c r="M156" i="2" s="1"/>
  <c r="L157" i="2"/>
  <c r="M157" i="2" s="1"/>
  <c r="L158" i="2"/>
  <c r="M158" i="2" s="1"/>
  <c r="L155" i="2"/>
  <c r="M155" i="2" s="1"/>
  <c r="W158" i="2"/>
  <c r="X158" i="2" s="1"/>
  <c r="W157" i="2"/>
  <c r="Y157" i="2" s="1"/>
  <c r="W156" i="2"/>
  <c r="Y156" i="2" s="1"/>
  <c r="L80" i="2"/>
  <c r="N80" i="2" s="1"/>
  <c r="L79" i="2"/>
  <c r="N79" i="2" s="1"/>
  <c r="L78" i="2"/>
  <c r="M78" i="2" s="1"/>
  <c r="L77" i="2"/>
  <c r="N77" i="2" s="1"/>
  <c r="L76" i="2"/>
  <c r="N76" i="2" s="1"/>
  <c r="L75" i="2"/>
  <c r="N75" i="2" s="1"/>
  <c r="L74" i="2"/>
  <c r="M74" i="2" s="1"/>
  <c r="L73" i="2"/>
  <c r="N73" i="2" s="1"/>
  <c r="L72" i="2"/>
  <c r="N72" i="2" s="1"/>
  <c r="L71" i="2"/>
  <c r="N71" i="2" s="1"/>
  <c r="L70" i="2"/>
  <c r="N70" i="2" s="1"/>
  <c r="L69" i="2"/>
  <c r="N69" i="2" s="1"/>
  <c r="L68" i="2"/>
  <c r="M68" i="2" s="1"/>
  <c r="L67" i="2"/>
  <c r="M67" i="2" s="1"/>
  <c r="L66" i="2"/>
  <c r="N66" i="2" s="1"/>
  <c r="L65" i="2"/>
  <c r="M65" i="2" s="1"/>
  <c r="L64" i="2"/>
  <c r="N64" i="2" s="1"/>
  <c r="J72" i="2"/>
  <c r="J73" i="2"/>
  <c r="J74" i="2"/>
  <c r="J75" i="2"/>
  <c r="J76" i="2"/>
  <c r="J77" i="2"/>
  <c r="J78" i="2"/>
  <c r="J79" i="2"/>
  <c r="J80" i="2"/>
  <c r="J71" i="2"/>
  <c r="J70" i="2"/>
  <c r="J69" i="2"/>
  <c r="J68" i="2"/>
  <c r="J67" i="2"/>
  <c r="J66" i="2"/>
  <c r="J65" i="2"/>
  <c r="J64" i="2"/>
  <c r="AA66" i="2"/>
  <c r="W66" i="2" s="1"/>
  <c r="Y66" i="2" s="1"/>
  <c r="AA67" i="2"/>
  <c r="W67" i="2" s="1"/>
  <c r="Y67" i="2" s="1"/>
  <c r="AA68" i="2"/>
  <c r="W68" i="2" s="1"/>
  <c r="Y68" i="2" s="1"/>
  <c r="AA69" i="2"/>
  <c r="W69" i="2" s="1"/>
  <c r="Y69" i="2" s="1"/>
  <c r="AA70" i="2"/>
  <c r="W70" i="2" s="1"/>
  <c r="Y70" i="2" s="1"/>
  <c r="AA71" i="2"/>
  <c r="W71" i="2" s="1"/>
  <c r="Y71" i="2" s="1"/>
  <c r="AA72" i="2"/>
  <c r="W72" i="2" s="1"/>
  <c r="Y72" i="2" s="1"/>
  <c r="AA65" i="2"/>
  <c r="W65" i="2" s="1"/>
  <c r="Y65" i="2" s="1"/>
  <c r="AC74" i="2"/>
  <c r="AC75" i="2"/>
  <c r="AC76" i="2"/>
  <c r="AC77" i="2"/>
  <c r="AC78" i="2"/>
  <c r="AC79" i="2"/>
  <c r="AC80" i="2"/>
  <c r="AC73" i="2"/>
  <c r="AA80" i="2"/>
  <c r="W80" i="2" s="1"/>
  <c r="Y80" i="2" s="1"/>
  <c r="AA79" i="2"/>
  <c r="W79" i="2" s="1"/>
  <c r="Y79" i="2" s="1"/>
  <c r="AA78" i="2"/>
  <c r="W78" i="2" s="1"/>
  <c r="Y78" i="2" s="1"/>
  <c r="AA77" i="2"/>
  <c r="W77" i="2" s="1"/>
  <c r="Y77" i="2" s="1"/>
  <c r="AA76" i="2"/>
  <c r="W76" i="2" s="1"/>
  <c r="Y76" i="2" s="1"/>
  <c r="AA75" i="2"/>
  <c r="W75" i="2" s="1"/>
  <c r="Y75" i="2" s="1"/>
  <c r="AA74" i="2"/>
  <c r="W74" i="2" s="1"/>
  <c r="Y74" i="2" s="1"/>
  <c r="AA73" i="2"/>
  <c r="W73" i="2" s="1"/>
  <c r="Y73" i="2" s="1"/>
  <c r="R80" i="2"/>
  <c r="S80" i="2" s="1"/>
  <c r="Q80" i="2"/>
  <c r="P80" i="2"/>
  <c r="G80" i="2"/>
  <c r="I80" i="2" s="1"/>
  <c r="R78" i="2"/>
  <c r="S78" i="2" s="1"/>
  <c r="Q78" i="2"/>
  <c r="P78" i="2"/>
  <c r="G78" i="2"/>
  <c r="I78" i="2" s="1"/>
  <c r="R72" i="2"/>
  <c r="S72" i="2" s="1"/>
  <c r="Q72" i="2"/>
  <c r="P72" i="2"/>
  <c r="G72" i="2"/>
  <c r="I72" i="2" s="1"/>
  <c r="R70" i="2"/>
  <c r="S70" i="2" s="1"/>
  <c r="Q70" i="2"/>
  <c r="P70" i="2"/>
  <c r="G70" i="2"/>
  <c r="I70" i="2" s="1"/>
  <c r="G69" i="2"/>
  <c r="I69" i="2" s="1"/>
  <c r="P69" i="2"/>
  <c r="Q69" i="2"/>
  <c r="R69" i="2"/>
  <c r="S69" i="2" s="1"/>
  <c r="R65" i="2"/>
  <c r="S65" i="2" s="1"/>
  <c r="R66" i="2"/>
  <c r="S66" i="2" s="1"/>
  <c r="R67" i="2"/>
  <c r="S67" i="2" s="1"/>
  <c r="R68" i="2"/>
  <c r="S68" i="2" s="1"/>
  <c r="R71" i="2"/>
  <c r="S71" i="2" s="1"/>
  <c r="R73" i="2"/>
  <c r="S73" i="2" s="1"/>
  <c r="R74" i="2"/>
  <c r="S74" i="2" s="1"/>
  <c r="R75" i="2"/>
  <c r="S75" i="2" s="1"/>
  <c r="R76" i="2"/>
  <c r="S76" i="2" s="1"/>
  <c r="R77" i="2"/>
  <c r="S77" i="2" s="1"/>
  <c r="R79" i="2"/>
  <c r="S79" i="2" s="1"/>
  <c r="R64" i="2"/>
  <c r="S64" i="2" s="1"/>
  <c r="Q79" i="2"/>
  <c r="Q77" i="2"/>
  <c r="Q76" i="2"/>
  <c r="Q75" i="2"/>
  <c r="Q74" i="2"/>
  <c r="Q73" i="2"/>
  <c r="Q71" i="2"/>
  <c r="Q68" i="2"/>
  <c r="Q67" i="2"/>
  <c r="Q66" i="2"/>
  <c r="Q65" i="2"/>
  <c r="Q64" i="2"/>
  <c r="P64" i="2"/>
  <c r="I64" i="2"/>
  <c r="L63" i="2"/>
  <c r="N63" i="2" s="1"/>
  <c r="L62" i="2"/>
  <c r="N62" i="2" s="1"/>
  <c r="L60" i="2"/>
  <c r="N60" i="2" s="1"/>
  <c r="L59" i="2"/>
  <c r="N59" i="2" s="1"/>
  <c r="S52" i="2"/>
  <c r="R63" i="2"/>
  <c r="S63" i="2" s="1"/>
  <c r="R62" i="2"/>
  <c r="S62" i="2" s="1"/>
  <c r="R61" i="2"/>
  <c r="S61" i="2" s="1"/>
  <c r="R60" i="2"/>
  <c r="S60" i="2" s="1"/>
  <c r="R59" i="2"/>
  <c r="S59" i="2" s="1"/>
  <c r="R58" i="2"/>
  <c r="S58" i="2" s="1"/>
  <c r="O63" i="2"/>
  <c r="Q63" i="2" s="1"/>
  <c r="O62" i="2"/>
  <c r="Q62" i="2" s="1"/>
  <c r="O60" i="2"/>
  <c r="Q60" i="2" s="1"/>
  <c r="O59" i="2"/>
  <c r="P59" i="2" s="1"/>
  <c r="AC57" i="2"/>
  <c r="AC56" i="2"/>
  <c r="AC55" i="2"/>
  <c r="AC54" i="2"/>
  <c r="T41" i="2"/>
  <c r="T43" i="2"/>
  <c r="T42" i="2"/>
  <c r="T57" i="2"/>
  <c r="T56" i="2"/>
  <c r="T55" i="2"/>
  <c r="T54" i="2"/>
  <c r="T53" i="2"/>
  <c r="R57" i="2"/>
  <c r="S57" i="2" s="1"/>
  <c r="R56" i="2"/>
  <c r="S56" i="2" s="1"/>
  <c r="R55" i="2"/>
  <c r="S55" i="2" s="1"/>
  <c r="R54" i="2"/>
  <c r="S54" i="2" s="1"/>
  <c r="R53" i="2"/>
  <c r="S53" i="2" s="1"/>
  <c r="Q53" i="2"/>
  <c r="P53" i="2"/>
  <c r="L54" i="2"/>
  <c r="N54" i="2" s="1"/>
  <c r="L55" i="2"/>
  <c r="N55" i="2" s="1"/>
  <c r="L56" i="2"/>
  <c r="M56" i="2" s="1"/>
  <c r="L57" i="2"/>
  <c r="M57" i="2" s="1"/>
  <c r="L53" i="2"/>
  <c r="N53" i="2" s="1"/>
  <c r="Y29" i="2"/>
  <c r="Y28" i="2"/>
  <c r="Y27" i="2"/>
  <c r="Y26" i="2"/>
  <c r="Y25" i="2"/>
  <c r="Y24" i="2"/>
  <c r="Y21" i="2"/>
  <c r="Y20" i="2"/>
  <c r="Y19" i="2"/>
  <c r="Y17" i="2"/>
  <c r="Y15" i="2"/>
  <c r="AA51" i="2"/>
  <c r="W51" i="2" s="1"/>
  <c r="AA46" i="2"/>
  <c r="W46" i="2" s="1"/>
  <c r="R50" i="2"/>
  <c r="R51" i="2"/>
  <c r="R48" i="2"/>
  <c r="R47" i="2"/>
  <c r="R46" i="2"/>
  <c r="R45" i="2"/>
  <c r="R44" i="2"/>
  <c r="R49" i="2"/>
  <c r="L50" i="2"/>
  <c r="N50" i="2" s="1"/>
  <c r="L45" i="2"/>
  <c r="M45" i="2" s="1"/>
  <c r="E51" i="2"/>
  <c r="AB51" i="2" s="1"/>
  <c r="E50" i="2"/>
  <c r="J50" i="2" s="1"/>
  <c r="E49" i="2"/>
  <c r="J49" i="2" s="1"/>
  <c r="E45" i="2"/>
  <c r="J45" i="2" s="1"/>
  <c r="E46" i="2"/>
  <c r="J46" i="2" s="1"/>
  <c r="E47" i="2"/>
  <c r="J47" i="2" s="1"/>
  <c r="E48" i="2"/>
  <c r="J48" i="2" s="1"/>
  <c r="E44" i="2"/>
  <c r="J44" i="2" s="1"/>
  <c r="AA42" i="2"/>
  <c r="W42" i="2" s="1"/>
  <c r="X42" i="2" s="1"/>
  <c r="AA39" i="2"/>
  <c r="W39" i="2" s="1"/>
  <c r="X39" i="2" s="1"/>
  <c r="AC42" i="2"/>
  <c r="AC39" i="2"/>
  <c r="J42" i="2"/>
  <c r="J43" i="2"/>
  <c r="J41" i="2"/>
  <c r="J40" i="2"/>
  <c r="J39" i="2"/>
  <c r="J38" i="2"/>
  <c r="R42" i="2"/>
  <c r="S42" i="2" s="1"/>
  <c r="R43" i="2"/>
  <c r="S43" i="2" s="1"/>
  <c r="R41" i="2"/>
  <c r="S41" i="2" s="1"/>
  <c r="R40" i="2"/>
  <c r="S40" i="2" s="1"/>
  <c r="R39" i="2"/>
  <c r="S39" i="2" s="1"/>
  <c r="R38" i="2"/>
  <c r="S38" i="2" s="1"/>
  <c r="Q43" i="2"/>
  <c r="Q40" i="2"/>
  <c r="P40" i="2"/>
  <c r="L40" i="2"/>
  <c r="L43" i="2"/>
  <c r="I40" i="2"/>
  <c r="AA35" i="2"/>
  <c r="AA34" i="2"/>
  <c r="W34" i="2" s="1"/>
  <c r="X34" i="2" s="1"/>
  <c r="AA33" i="2"/>
  <c r="W33" i="2" s="1"/>
  <c r="X33" i="2" s="1"/>
  <c r="AA32" i="2"/>
  <c r="W32" i="2" s="1"/>
  <c r="X32" i="2" s="1"/>
  <c r="L30" i="2"/>
  <c r="M30" i="2" s="1"/>
  <c r="AC35" i="2"/>
  <c r="R35" i="2"/>
  <c r="L35" i="2"/>
  <c r="N35" i="2" s="1"/>
  <c r="I35" i="2"/>
  <c r="E35" i="2"/>
  <c r="AB35" i="2" s="1"/>
  <c r="AC34" i="2"/>
  <c r="R34" i="2"/>
  <c r="L34" i="2"/>
  <c r="N34" i="2" s="1"/>
  <c r="I34" i="2"/>
  <c r="E34" i="2"/>
  <c r="AB34" i="2" s="1"/>
  <c r="AC33" i="2"/>
  <c r="R33" i="2"/>
  <c r="L33" i="2"/>
  <c r="N33" i="2" s="1"/>
  <c r="I33" i="2"/>
  <c r="E33" i="2"/>
  <c r="J33" i="2" s="1"/>
  <c r="AC32" i="2"/>
  <c r="R32" i="2"/>
  <c r="L32" i="2"/>
  <c r="N32" i="2" s="1"/>
  <c r="I32" i="2"/>
  <c r="E32" i="2"/>
  <c r="J32" i="2" s="1"/>
  <c r="AC37" i="2"/>
  <c r="AC36" i="2"/>
  <c r="L37" i="2"/>
  <c r="N37" i="2" s="1"/>
  <c r="L36" i="2"/>
  <c r="N36" i="2" s="1"/>
  <c r="L31" i="2"/>
  <c r="N31" i="2" s="1"/>
  <c r="R37" i="2"/>
  <c r="R36" i="2"/>
  <c r="R31" i="2"/>
  <c r="R30" i="2"/>
  <c r="I31" i="2"/>
  <c r="E31" i="2"/>
  <c r="Q31" i="2" s="1"/>
  <c r="I30" i="2"/>
  <c r="E30" i="2"/>
  <c r="Q30" i="2" s="1"/>
  <c r="E37" i="2"/>
  <c r="AB37" i="2" s="1"/>
  <c r="E36" i="2"/>
  <c r="AB36" i="2" s="1"/>
  <c r="L18" i="2"/>
  <c r="M18" i="2" s="1"/>
  <c r="L16" i="2"/>
  <c r="M16" i="2" s="1"/>
  <c r="L14" i="2"/>
  <c r="N14" i="2" s="1"/>
  <c r="L29" i="2"/>
  <c r="M29" i="2" s="1"/>
  <c r="L28" i="2"/>
  <c r="M28" i="2" s="1"/>
  <c r="L27" i="2"/>
  <c r="M27" i="2" s="1"/>
  <c r="L26" i="2"/>
  <c r="M26" i="2" s="1"/>
  <c r="L25" i="2"/>
  <c r="M25" i="2" s="1"/>
  <c r="L24" i="2"/>
  <c r="M24" i="2" s="1"/>
  <c r="L23" i="2"/>
  <c r="M23" i="2" s="1"/>
  <c r="L22" i="2"/>
  <c r="M22" i="2" s="1"/>
  <c r="X29" i="2"/>
  <c r="X28" i="2"/>
  <c r="X27" i="2"/>
  <c r="X26" i="2"/>
  <c r="X25" i="2"/>
  <c r="X24" i="2"/>
  <c r="R23" i="2"/>
  <c r="R24" i="2"/>
  <c r="R25" i="2"/>
  <c r="R26" i="2"/>
  <c r="R27" i="2"/>
  <c r="R28" i="2"/>
  <c r="R29" i="2"/>
  <c r="R22" i="2"/>
  <c r="I23" i="2"/>
  <c r="E23" i="2"/>
  <c r="I22" i="2"/>
  <c r="E22" i="2"/>
  <c r="D19" i="2"/>
  <c r="D20" i="2"/>
  <c r="D21" i="2"/>
  <c r="D18" i="2"/>
  <c r="B14" i="2"/>
  <c r="E25" i="2"/>
  <c r="J25" i="2" s="1"/>
  <c r="E26" i="2"/>
  <c r="J26" i="2" s="1"/>
  <c r="E27" i="2"/>
  <c r="J27" i="2" s="1"/>
  <c r="E28" i="2"/>
  <c r="AB28" i="2" s="1"/>
  <c r="E29" i="2"/>
  <c r="AB29" i="2" s="1"/>
  <c r="E24" i="2"/>
  <c r="J24" i="2" s="1"/>
  <c r="W3" i="2"/>
  <c r="Y3" i="2" s="1"/>
  <c r="W4" i="2"/>
  <c r="Y4" i="2" s="1"/>
  <c r="W5" i="2"/>
  <c r="X5" i="2" s="1"/>
  <c r="W6" i="2"/>
  <c r="X6" i="2" s="1"/>
  <c r="W7" i="2"/>
  <c r="X7" i="2" s="1"/>
  <c r="W8" i="2"/>
  <c r="X8" i="2" s="1"/>
  <c r="W2" i="2"/>
  <c r="X2" i="2" s="1"/>
  <c r="Z21" i="2"/>
  <c r="X17" i="2"/>
  <c r="R19" i="2"/>
  <c r="R20" i="2"/>
  <c r="R21" i="2"/>
  <c r="R18" i="2"/>
  <c r="R17" i="2"/>
  <c r="R16" i="2"/>
  <c r="R15" i="2"/>
  <c r="R14" i="2"/>
  <c r="L21" i="2"/>
  <c r="M21" i="2" s="1"/>
  <c r="L20" i="2"/>
  <c r="M20" i="2" s="1"/>
  <c r="L19" i="2"/>
  <c r="M19" i="2" s="1"/>
  <c r="L17" i="2"/>
  <c r="M17" i="2" s="1"/>
  <c r="L15" i="2"/>
  <c r="M15" i="2" s="1"/>
  <c r="E21" i="2"/>
  <c r="J21" i="2" s="1"/>
  <c r="E20" i="2"/>
  <c r="J20" i="2" s="1"/>
  <c r="E19" i="2"/>
  <c r="J19" i="2" s="1"/>
  <c r="E18" i="2"/>
  <c r="J18" i="2" s="1"/>
  <c r="E17" i="2"/>
  <c r="J17" i="2" s="1"/>
  <c r="E16" i="2"/>
  <c r="J16" i="2" s="1"/>
  <c r="E15" i="2"/>
  <c r="J15" i="2" s="1"/>
  <c r="E14" i="2"/>
  <c r="J14" i="2" s="1"/>
  <c r="AC3" i="2"/>
  <c r="AC4" i="2"/>
  <c r="AC5" i="2"/>
  <c r="AC6" i="2"/>
  <c r="AC7" i="2"/>
  <c r="AC8" i="2"/>
  <c r="AC2" i="2"/>
  <c r="AB3" i="2"/>
  <c r="AB4" i="2"/>
  <c r="AB5" i="2"/>
  <c r="AB6" i="2"/>
  <c r="AB7" i="2"/>
  <c r="AB8" i="2"/>
  <c r="AB2" i="2"/>
  <c r="P13" i="2"/>
  <c r="P12" i="2"/>
  <c r="P11" i="2"/>
  <c r="P10" i="2"/>
  <c r="L10" i="2"/>
  <c r="M10" i="2" s="1"/>
  <c r="L11" i="2"/>
  <c r="M11" i="2" s="1"/>
  <c r="L12" i="2"/>
  <c r="M12" i="2" s="1"/>
  <c r="L13" i="2"/>
  <c r="M13" i="2" s="1"/>
  <c r="L7" i="2"/>
  <c r="M7" i="2" s="1"/>
  <c r="L6" i="2"/>
  <c r="M6" i="2" s="1"/>
  <c r="L5" i="2"/>
  <c r="M5" i="2" s="1"/>
  <c r="L8" i="2"/>
  <c r="M8" i="2" s="1"/>
  <c r="R10" i="2"/>
  <c r="S10" i="2" s="1"/>
  <c r="R11" i="2"/>
  <c r="S11" i="2" s="1"/>
  <c r="R12" i="2"/>
  <c r="S12" i="2" s="1"/>
  <c r="R13" i="2"/>
  <c r="S13" i="2" s="1"/>
  <c r="R2" i="2"/>
  <c r="S2" i="2" s="1"/>
  <c r="R3" i="2"/>
  <c r="S3" i="2" s="1"/>
  <c r="R4" i="2"/>
  <c r="S4" i="2" s="1"/>
  <c r="R5" i="2"/>
  <c r="S5" i="2" s="1"/>
  <c r="R6" i="2"/>
  <c r="S6" i="2" s="1"/>
  <c r="R7" i="2"/>
  <c r="S7" i="2" s="1"/>
  <c r="R8" i="2"/>
  <c r="S8" i="2" s="1"/>
  <c r="R9" i="2"/>
  <c r="S9" i="2" s="1"/>
  <c r="J9" i="2"/>
  <c r="J10" i="2"/>
  <c r="J11" i="2"/>
  <c r="J12" i="2"/>
  <c r="J13" i="2"/>
  <c r="G9" i="2"/>
  <c r="I9" i="2" s="1"/>
  <c r="G10" i="2"/>
  <c r="I10" i="2" s="1"/>
  <c r="G11" i="2"/>
  <c r="I11" i="2" s="1"/>
  <c r="G12" i="2"/>
  <c r="I12" i="2" s="1"/>
  <c r="G13" i="2"/>
  <c r="I13" i="2" s="1"/>
  <c r="J3" i="2"/>
  <c r="J4" i="2"/>
  <c r="J5" i="2"/>
  <c r="J6" i="2"/>
  <c r="J7" i="2"/>
  <c r="J8" i="2"/>
  <c r="J2" i="2"/>
  <c r="AB202" i="2"/>
  <c r="AB196" i="2"/>
  <c r="AB201" i="2"/>
  <c r="AB195" i="2"/>
  <c r="AB200" i="2"/>
  <c r="AB199" i="2"/>
  <c r="AB198" i="2"/>
  <c r="AB197" i="2"/>
  <c r="AB188" i="2"/>
  <c r="AB42" i="2"/>
  <c r="AB39" i="2"/>
  <c r="AB63" i="2"/>
  <c r="AB62" i="2"/>
  <c r="AB61" i="2"/>
  <c r="AB241" i="2"/>
  <c r="AB242" i="2"/>
  <c r="AB243" i="2"/>
  <c r="AB244" i="2"/>
  <c r="AB245" i="2"/>
  <c r="AB246" i="2"/>
  <c r="AB247" i="2"/>
  <c r="AB248" i="2"/>
  <c r="AB250" i="2"/>
  <c r="AB251" i="2"/>
  <c r="AB252" i="2"/>
  <c r="AB54" i="2"/>
  <c r="AB55" i="2"/>
  <c r="AB56" i="2"/>
  <c r="AB57" i="2"/>
  <c r="AB178" i="2"/>
  <c r="AB179" i="2"/>
  <c r="AB160" i="2"/>
  <c r="AB161" i="2"/>
  <c r="AB162" i="2"/>
  <c r="AB163" i="2"/>
  <c r="AB164" i="2"/>
  <c r="Z263" i="2"/>
  <c r="W47" i="2"/>
  <c r="AA57" i="2"/>
  <c r="W57" i="2" s="1"/>
  <c r="X57" i="2" s="1"/>
  <c r="AA56" i="2"/>
  <c r="W56" i="2" s="1"/>
  <c r="X56" i="2" s="1"/>
  <c r="AA226" i="2"/>
  <c r="W226" i="2" s="1"/>
  <c r="X226" i="2" s="1"/>
  <c r="AA225" i="2"/>
  <c r="W225" i="2" s="1"/>
  <c r="X225" i="2" s="1"/>
  <c r="AA224" i="2"/>
  <c r="W224" i="2" s="1"/>
  <c r="X224" i="2" s="1"/>
  <c r="AA223" i="2"/>
  <c r="W223" i="2" s="1"/>
  <c r="X223" i="2" s="1"/>
  <c r="AA222" i="2"/>
  <c r="W222" i="2" s="1"/>
  <c r="X222" i="2" s="1"/>
  <c r="AA37" i="2"/>
  <c r="W37" i="2" s="1"/>
  <c r="Y37" i="2" s="1"/>
  <c r="AA36" i="2"/>
  <c r="W36" i="2" s="1"/>
  <c r="Y36" i="2" s="1"/>
  <c r="AA29" i="2"/>
  <c r="AA28" i="2"/>
  <c r="AA27" i="2"/>
  <c r="AA26" i="2"/>
  <c r="AA25" i="2"/>
  <c r="AA24" i="2"/>
  <c r="AA179" i="2"/>
  <c r="W179" i="2" s="1"/>
  <c r="X179" i="2" s="1"/>
  <c r="AA178" i="2"/>
  <c r="W178" i="2" s="1"/>
  <c r="X178" i="2" s="1"/>
  <c r="AA55" i="2"/>
  <c r="W55" i="2" s="1"/>
  <c r="X55" i="2" s="1"/>
  <c r="AA54" i="2"/>
  <c r="W54" i="2" s="1"/>
  <c r="X54" i="2" s="1"/>
  <c r="AA176" i="2"/>
  <c r="W176" i="2" s="1"/>
  <c r="X176" i="2" s="1"/>
  <c r="AA174" i="2"/>
  <c r="W174" i="2" s="1"/>
  <c r="X174" i="2" s="1"/>
  <c r="AA171" i="2"/>
  <c r="W171" i="2" s="1"/>
  <c r="Y171" i="2" s="1"/>
  <c r="AA175" i="2"/>
  <c r="W175" i="2" s="1"/>
  <c r="X175" i="2" s="1"/>
  <c r="AA173" i="2"/>
  <c r="W173" i="2" s="1"/>
  <c r="X173" i="2" s="1"/>
  <c r="AA172" i="2"/>
  <c r="W172" i="2" s="1"/>
  <c r="X172" i="2" s="1"/>
  <c r="AA169" i="2"/>
  <c r="W169" i="2" s="1"/>
  <c r="X169" i="2" s="1"/>
  <c r="W48" i="2"/>
  <c r="AA170" i="2"/>
  <c r="W170" i="2" s="1"/>
  <c r="Y170" i="2" s="1"/>
  <c r="AA118" i="2"/>
  <c r="W118" i="2" s="1"/>
  <c r="X118" i="2" s="1"/>
  <c r="AA121" i="2"/>
  <c r="W121" i="2" s="1"/>
  <c r="X121" i="2" s="1"/>
  <c r="AA116" i="2"/>
  <c r="W116" i="2" s="1"/>
  <c r="X116" i="2" s="1"/>
  <c r="AA93" i="2"/>
  <c r="W93" i="2" s="1"/>
  <c r="X93" i="2" s="1"/>
  <c r="AA122" i="2"/>
  <c r="W122" i="2" s="1"/>
  <c r="X122" i="2" s="1"/>
  <c r="AA91" i="2"/>
  <c r="W91" i="2" s="1"/>
  <c r="X91" i="2" s="1"/>
  <c r="AA119" i="2"/>
  <c r="W119" i="2" s="1"/>
  <c r="X119" i="2" s="1"/>
  <c r="AA92" i="2"/>
  <c r="W92" i="2" s="1"/>
  <c r="X92" i="2" s="1"/>
  <c r="AA120" i="2"/>
  <c r="W120" i="2" s="1"/>
  <c r="X120" i="2" s="1"/>
  <c r="AA94" i="2"/>
  <c r="W94" i="2" s="1"/>
  <c r="X94" i="2" s="1"/>
  <c r="AA123" i="2"/>
  <c r="W123" i="2" s="1"/>
  <c r="X123" i="2" s="1"/>
  <c r="AA90" i="2"/>
  <c r="W90" i="2" s="1"/>
  <c r="X90" i="2" s="1"/>
  <c r="AA117" i="2"/>
  <c r="W117" i="2" s="1"/>
  <c r="X117" i="2" s="1"/>
  <c r="AA146" i="2"/>
  <c r="AA149" i="2"/>
  <c r="AA148" i="2"/>
  <c r="AA147" i="2"/>
  <c r="AA145" i="2"/>
  <c r="AA144" i="2"/>
  <c r="AA96" i="2"/>
  <c r="W96" i="2" s="1"/>
  <c r="X96" i="2" s="1"/>
  <c r="AA128" i="2"/>
  <c r="W128" i="2" s="1"/>
  <c r="X128" i="2" s="1"/>
  <c r="AA98" i="2"/>
  <c r="W98" i="2" s="1"/>
  <c r="X98" i="2" s="1"/>
  <c r="AA130" i="2"/>
  <c r="W130" i="2" s="1"/>
  <c r="X130" i="2" s="1"/>
  <c r="AA100" i="2"/>
  <c r="W100" i="2" s="1"/>
  <c r="X100" i="2" s="1"/>
  <c r="AA132" i="2"/>
  <c r="W132" i="2" s="1"/>
  <c r="X132" i="2" s="1"/>
  <c r="AA126" i="2"/>
  <c r="W126" i="2" s="1"/>
  <c r="X126" i="2" s="1"/>
  <c r="AA127" i="2"/>
  <c r="W127" i="2" s="1"/>
  <c r="X127" i="2" s="1"/>
  <c r="AA99" i="2"/>
  <c r="W99" i="2" s="1"/>
  <c r="X99" i="2" s="1"/>
  <c r="AA131" i="2"/>
  <c r="W131" i="2" s="1"/>
  <c r="X131" i="2" s="1"/>
  <c r="AA97" i="2"/>
  <c r="W97" i="2" s="1"/>
  <c r="X97" i="2" s="1"/>
  <c r="AA129" i="2"/>
  <c r="W129" i="2" s="1"/>
  <c r="X129" i="2" s="1"/>
  <c r="AA140" i="2"/>
  <c r="AA142" i="2"/>
  <c r="AA135" i="2"/>
  <c r="AA141" i="2"/>
  <c r="AA139" i="2"/>
  <c r="AA138" i="2"/>
  <c r="AA137" i="2"/>
  <c r="G205" i="2"/>
  <c r="I205" i="2" s="1"/>
  <c r="G206" i="2"/>
  <c r="I206" i="2" s="1"/>
  <c r="G207" i="2"/>
  <c r="I207" i="2" s="1"/>
  <c r="G2" i="2"/>
  <c r="I2" i="2" s="1"/>
  <c r="G3" i="2"/>
  <c r="I3" i="2" s="1"/>
  <c r="G4" i="2"/>
  <c r="I4" i="2" s="1"/>
  <c r="G5" i="2"/>
  <c r="I5" i="2" s="1"/>
  <c r="G6" i="2"/>
  <c r="I6" i="2" s="1"/>
  <c r="G7" i="2"/>
  <c r="I7" i="2" s="1"/>
  <c r="G8" i="2"/>
  <c r="I8" i="2" s="1"/>
  <c r="G204" i="2"/>
  <c r="I204" i="2" s="1"/>
  <c r="G231" i="2"/>
  <c r="I231" i="2" s="1"/>
  <c r="G232" i="2"/>
  <c r="I232" i="2" s="1"/>
  <c r="G233" i="2"/>
  <c r="I233" i="2" s="1"/>
  <c r="G234" i="2"/>
  <c r="I234" i="2" s="1"/>
  <c r="G235" i="2"/>
  <c r="I235" i="2" s="1"/>
  <c r="G236" i="2"/>
  <c r="I236" i="2" s="1"/>
  <c r="G65" i="2"/>
  <c r="I65" i="2" s="1"/>
  <c r="G66" i="2"/>
  <c r="I66" i="2" s="1"/>
  <c r="G67" i="2"/>
  <c r="I67" i="2" s="1"/>
  <c r="G68" i="2"/>
  <c r="I68" i="2" s="1"/>
  <c r="G71" i="2"/>
  <c r="I71" i="2" s="1"/>
  <c r="G73" i="2"/>
  <c r="I73" i="2" s="1"/>
  <c r="G74" i="2"/>
  <c r="I74" i="2" s="1"/>
  <c r="G75" i="2"/>
  <c r="I75" i="2" s="1"/>
  <c r="G76" i="2"/>
  <c r="I76" i="2" s="1"/>
  <c r="G77" i="2"/>
  <c r="I77" i="2" s="1"/>
  <c r="G79" i="2"/>
  <c r="I79" i="2" s="1"/>
  <c r="G46" i="2"/>
  <c r="I46" i="2" s="1"/>
  <c r="G51" i="2"/>
  <c r="I51" i="2" s="1"/>
  <c r="I256" i="2"/>
  <c r="I257" i="2"/>
  <c r="I198" i="2"/>
  <c r="I199" i="2"/>
  <c r="I200" i="2"/>
  <c r="I201" i="2"/>
  <c r="I202" i="2"/>
  <c r="I38" i="2"/>
  <c r="I39" i="2"/>
  <c r="I197" i="2"/>
  <c r="I226" i="2"/>
  <c r="I225" i="2"/>
  <c r="I224" i="2"/>
  <c r="I223" i="2"/>
  <c r="I222" i="2"/>
  <c r="I37" i="2"/>
  <c r="I36" i="2"/>
  <c r="I21" i="2"/>
  <c r="I17" i="2"/>
  <c r="I15" i="2"/>
  <c r="I29" i="2"/>
  <c r="I28" i="2"/>
  <c r="I27" i="2"/>
  <c r="I26" i="2"/>
  <c r="I25" i="2"/>
  <c r="I24" i="2"/>
  <c r="I179" i="2"/>
  <c r="I178" i="2"/>
  <c r="I252" i="2"/>
  <c r="I251" i="2"/>
  <c r="I250" i="2"/>
  <c r="I248" i="2"/>
  <c r="I247" i="2"/>
  <c r="I246" i="2"/>
  <c r="I245" i="2"/>
  <c r="I244" i="2"/>
  <c r="I243" i="2"/>
  <c r="I242" i="2"/>
  <c r="I241" i="2"/>
  <c r="I164" i="2"/>
  <c r="I163" i="2"/>
  <c r="I162" i="2"/>
  <c r="I161" i="2"/>
  <c r="I160" i="2"/>
  <c r="I48" i="2"/>
  <c r="P169" i="2"/>
  <c r="P171" i="2"/>
  <c r="P172" i="2"/>
  <c r="P173" i="2"/>
  <c r="P174" i="2"/>
  <c r="P175" i="2"/>
  <c r="P176" i="2"/>
  <c r="P160" i="2"/>
  <c r="P161" i="2"/>
  <c r="P162" i="2"/>
  <c r="P163" i="2"/>
  <c r="P164" i="2"/>
  <c r="P241" i="2"/>
  <c r="P242" i="2"/>
  <c r="P243" i="2"/>
  <c r="P244" i="2"/>
  <c r="P245" i="2"/>
  <c r="P246" i="2"/>
  <c r="P247" i="2"/>
  <c r="P248" i="2"/>
  <c r="P250" i="2"/>
  <c r="P251" i="2"/>
  <c r="P252" i="2"/>
  <c r="P54" i="2"/>
  <c r="P55" i="2"/>
  <c r="P56" i="2"/>
  <c r="P57" i="2"/>
  <c r="P223" i="2"/>
  <c r="P224" i="2"/>
  <c r="P225" i="2"/>
  <c r="P226" i="2"/>
  <c r="P115" i="2"/>
  <c r="P43" i="2"/>
  <c r="P187" i="2"/>
  <c r="P188" i="2"/>
  <c r="P197" i="2"/>
  <c r="P189" i="2"/>
  <c r="P198" i="2"/>
  <c r="P190" i="2"/>
  <c r="P191" i="2"/>
  <c r="P199" i="2"/>
  <c r="P192" i="2"/>
  <c r="P200" i="2"/>
  <c r="P195" i="2"/>
  <c r="P201" i="2"/>
  <c r="P196" i="2"/>
  <c r="P202" i="2"/>
  <c r="P124" i="2"/>
  <c r="P236" i="2"/>
  <c r="P65" i="2"/>
  <c r="P66" i="2"/>
  <c r="P67" i="2"/>
  <c r="P68" i="2"/>
  <c r="P71" i="2"/>
  <c r="P73" i="2"/>
  <c r="P74" i="2"/>
  <c r="P75" i="2"/>
  <c r="P76" i="2"/>
  <c r="P77" i="2"/>
  <c r="P79" i="2"/>
  <c r="P5" i="2"/>
  <c r="P6" i="2"/>
  <c r="P7" i="2"/>
  <c r="P8" i="2"/>
  <c r="Q208" i="2"/>
  <c r="Q89" i="2"/>
  <c r="Q114" i="2"/>
  <c r="Q102" i="2"/>
  <c r="N40" i="2" l="1"/>
  <c r="M40" i="2"/>
  <c r="N43" i="2"/>
  <c r="M43" i="2"/>
  <c r="W195" i="2"/>
  <c r="Y195" i="2" s="1"/>
  <c r="X263" i="2"/>
  <c r="Y63" i="2"/>
  <c r="X63" i="2"/>
  <c r="Y62" i="2"/>
  <c r="X62" i="2"/>
  <c r="Y61" i="2"/>
  <c r="X61" i="2"/>
  <c r="Y267" i="2"/>
  <c r="X267" i="2"/>
  <c r="Y262" i="2"/>
  <c r="X262" i="2"/>
  <c r="Y264" i="2"/>
  <c r="X264" i="2"/>
  <c r="X266" i="2"/>
  <c r="Y266" i="2"/>
  <c r="Y265" i="2"/>
  <c r="Y239" i="2"/>
  <c r="Y240" i="2"/>
  <c r="Y257" i="2"/>
  <c r="M249" i="2"/>
  <c r="M255" i="2"/>
  <c r="Y255" i="2"/>
  <c r="X255" i="2"/>
  <c r="M243" i="2"/>
  <c r="Y259" i="2"/>
  <c r="N251" i="2"/>
  <c r="Y254" i="2"/>
  <c r="X254" i="2"/>
  <c r="Y253" i="2"/>
  <c r="X253" i="2"/>
  <c r="M230" i="2"/>
  <c r="N250" i="2"/>
  <c r="M259" i="2"/>
  <c r="N252" i="2"/>
  <c r="M258" i="2"/>
  <c r="N253" i="2"/>
  <c r="M257" i="2"/>
  <c r="N254" i="2"/>
  <c r="M256" i="2"/>
  <c r="N247" i="2"/>
  <c r="N240" i="2"/>
  <c r="P240" i="2" s="1"/>
  <c r="N229" i="2"/>
  <c r="Y235" i="2"/>
  <c r="Y236" i="2"/>
  <c r="M241" i="2"/>
  <c r="M242" i="2"/>
  <c r="N248" i="2"/>
  <c r="M244" i="2"/>
  <c r="M245" i="2"/>
  <c r="M246" i="2"/>
  <c r="N228" i="2"/>
  <c r="P228" i="2" s="1"/>
  <c r="N238" i="2"/>
  <c r="P238" i="2" s="1"/>
  <c r="Y234" i="2"/>
  <c r="X228" i="2"/>
  <c r="Y228" i="2"/>
  <c r="AA231" i="2"/>
  <c r="AA232" i="2"/>
  <c r="AA233" i="2"/>
  <c r="M227" i="2"/>
  <c r="N212" i="2"/>
  <c r="N214" i="2"/>
  <c r="N215" i="2"/>
  <c r="N217" i="2"/>
  <c r="P217" i="2" s="1"/>
  <c r="N220" i="2"/>
  <c r="P220" i="2" s="1"/>
  <c r="N223" i="2"/>
  <c r="X219" i="2"/>
  <c r="M218" i="2"/>
  <c r="M219" i="2"/>
  <c r="M226" i="2"/>
  <c r="Y217" i="2"/>
  <c r="Y218" i="2"/>
  <c r="Y220" i="2"/>
  <c r="Y221" i="2"/>
  <c r="N216" i="2"/>
  <c r="P216" i="2" s="1"/>
  <c r="M221" i="2"/>
  <c r="M222" i="2"/>
  <c r="M224" i="2"/>
  <c r="M225" i="2"/>
  <c r="N208" i="2"/>
  <c r="N209" i="2"/>
  <c r="N210" i="2"/>
  <c r="N211" i="2"/>
  <c r="N213" i="2"/>
  <c r="X204" i="2"/>
  <c r="Y204" i="2"/>
  <c r="Y205" i="2"/>
  <c r="X205" i="2"/>
  <c r="Y206" i="2"/>
  <c r="X206" i="2"/>
  <c r="X207" i="2"/>
  <c r="N194" i="2"/>
  <c r="Y196" i="2"/>
  <c r="X196" i="2"/>
  <c r="Y198" i="2"/>
  <c r="X198" i="2"/>
  <c r="X199" i="2"/>
  <c r="Y199" i="2"/>
  <c r="Y201" i="2"/>
  <c r="X201" i="2"/>
  <c r="Y202" i="2"/>
  <c r="X202" i="2"/>
  <c r="M201" i="2"/>
  <c r="N193" i="2"/>
  <c r="N195" i="2"/>
  <c r="N196" i="2"/>
  <c r="X197" i="2"/>
  <c r="X200" i="2"/>
  <c r="Y193" i="2"/>
  <c r="X193" i="2"/>
  <c r="X194" i="2"/>
  <c r="N202" i="2"/>
  <c r="M200" i="2"/>
  <c r="M199" i="2"/>
  <c r="M198" i="2"/>
  <c r="M197" i="2"/>
  <c r="M191" i="2"/>
  <c r="N189" i="2"/>
  <c r="M188" i="2"/>
  <c r="M190" i="2"/>
  <c r="N186" i="2"/>
  <c r="P186" i="2" s="1"/>
  <c r="X191" i="2"/>
  <c r="Y187" i="2"/>
  <c r="X187" i="2"/>
  <c r="Y188" i="2"/>
  <c r="X188" i="2"/>
  <c r="Y189" i="2"/>
  <c r="X189" i="2"/>
  <c r="Y190" i="2"/>
  <c r="X190" i="2"/>
  <c r="N192" i="2"/>
  <c r="M187" i="2"/>
  <c r="X192" i="2"/>
  <c r="Y167" i="2"/>
  <c r="Y184" i="2"/>
  <c r="X184" i="2"/>
  <c r="M184" i="2"/>
  <c r="M185" i="2"/>
  <c r="N181" i="2"/>
  <c r="X185" i="2"/>
  <c r="Y185" i="2"/>
  <c r="N182" i="2"/>
  <c r="Y172" i="2"/>
  <c r="Y175" i="2"/>
  <c r="Y173" i="2"/>
  <c r="Y174" i="2"/>
  <c r="Y176" i="2"/>
  <c r="X170" i="2"/>
  <c r="X171" i="2"/>
  <c r="M168" i="2"/>
  <c r="N147" i="2"/>
  <c r="N148" i="2"/>
  <c r="N151" i="2"/>
  <c r="Q151" i="2" s="1"/>
  <c r="Y166" i="2"/>
  <c r="N154" i="2"/>
  <c r="Q154" i="2" s="1"/>
  <c r="N155" i="2"/>
  <c r="Q155" i="2" s="1"/>
  <c r="N156" i="2"/>
  <c r="P156" i="2" s="1"/>
  <c r="N161" i="2"/>
  <c r="N160" i="2"/>
  <c r="M126" i="2"/>
  <c r="M164" i="2"/>
  <c r="M163" i="2"/>
  <c r="N131" i="2"/>
  <c r="N132" i="2"/>
  <c r="N138" i="2"/>
  <c r="N139" i="2"/>
  <c r="N140" i="2"/>
  <c r="N141" i="2"/>
  <c r="N157" i="2"/>
  <c r="Q157" i="2" s="1"/>
  <c r="N142" i="2"/>
  <c r="N158" i="2"/>
  <c r="Q158" i="2" s="1"/>
  <c r="N127" i="2"/>
  <c r="N143" i="2"/>
  <c r="N159" i="2"/>
  <c r="M125" i="2"/>
  <c r="N128" i="2"/>
  <c r="N144" i="2"/>
  <c r="N129" i="2"/>
  <c r="N145" i="2"/>
  <c r="N130" i="2"/>
  <c r="N146" i="2"/>
  <c r="N162" i="2"/>
  <c r="N149" i="2"/>
  <c r="N134" i="2"/>
  <c r="N150" i="2"/>
  <c r="Q150" i="2" s="1"/>
  <c r="N135" i="2"/>
  <c r="N136" i="2"/>
  <c r="P136" i="2" s="1"/>
  <c r="N152" i="2"/>
  <c r="Q152" i="2" s="1"/>
  <c r="N137" i="2"/>
  <c r="N153" i="2"/>
  <c r="Q153" i="2" s="1"/>
  <c r="X162" i="2"/>
  <c r="X160" i="2"/>
  <c r="M115" i="2"/>
  <c r="M119" i="2"/>
  <c r="M118" i="2"/>
  <c r="M123" i="2"/>
  <c r="X124" i="2"/>
  <c r="Y124" i="2"/>
  <c r="M117" i="2"/>
  <c r="N120" i="2"/>
  <c r="N121" i="2"/>
  <c r="N122" i="2"/>
  <c r="M116" i="2"/>
  <c r="N124" i="2"/>
  <c r="N114" i="2"/>
  <c r="N102" i="2"/>
  <c r="M86" i="2"/>
  <c r="S86" i="2"/>
  <c r="W83" i="2"/>
  <c r="Y83" i="2" s="1"/>
  <c r="S82" i="2"/>
  <c r="M87" i="2"/>
  <c r="S81" i="2"/>
  <c r="S87" i="2"/>
  <c r="S85" i="2"/>
  <c r="S84" i="2"/>
  <c r="S83" i="2"/>
  <c r="S155" i="2"/>
  <c r="Y158" i="2"/>
  <c r="S158" i="2"/>
  <c r="S157" i="2"/>
  <c r="S156" i="2"/>
  <c r="AB156" i="2"/>
  <c r="X156" i="2"/>
  <c r="X157" i="2"/>
  <c r="M73" i="2"/>
  <c r="M66" i="2"/>
  <c r="P62" i="2"/>
  <c r="M75" i="2"/>
  <c r="M79" i="2"/>
  <c r="N65" i="2"/>
  <c r="N74" i="2"/>
  <c r="N78" i="2"/>
  <c r="N67" i="2"/>
  <c r="M69" i="2"/>
  <c r="N68" i="2"/>
  <c r="M70" i="2"/>
  <c r="M71" i="2"/>
  <c r="M72" i="2"/>
  <c r="M76" i="2"/>
  <c r="M77" i="2"/>
  <c r="M64" i="2"/>
  <c r="M80" i="2"/>
  <c r="P63" i="2"/>
  <c r="P60" i="2"/>
  <c r="M59" i="2"/>
  <c r="M60" i="2"/>
  <c r="M62" i="2"/>
  <c r="M63" i="2"/>
  <c r="Q59" i="2"/>
  <c r="S48" i="2"/>
  <c r="J51" i="2"/>
  <c r="M50" i="2"/>
  <c r="N56" i="2"/>
  <c r="N57" i="2"/>
  <c r="M53" i="2"/>
  <c r="M54" i="2"/>
  <c r="M55" i="2"/>
  <c r="S44" i="2"/>
  <c r="S46" i="2"/>
  <c r="S47" i="2"/>
  <c r="Y39" i="2"/>
  <c r="S51" i="2"/>
  <c r="AB48" i="2"/>
  <c r="S50" i="2"/>
  <c r="S49" i="2"/>
  <c r="S45" i="2"/>
  <c r="X47" i="2"/>
  <c r="Y47" i="2"/>
  <c r="X48" i="2"/>
  <c r="Y48" i="2"/>
  <c r="Y46" i="2"/>
  <c r="X46" i="2"/>
  <c r="Y51" i="2"/>
  <c r="X51" i="2"/>
  <c r="Y32" i="2"/>
  <c r="Y33" i="2"/>
  <c r="Y34" i="2"/>
  <c r="AB46" i="2"/>
  <c r="AB47" i="2"/>
  <c r="Y42" i="2"/>
  <c r="AB25" i="2"/>
  <c r="P21" i="2"/>
  <c r="P24" i="2"/>
  <c r="P17" i="2"/>
  <c r="P34" i="2"/>
  <c r="S34" i="2"/>
  <c r="P28" i="2"/>
  <c r="N18" i="2"/>
  <c r="P18" i="2" s="1"/>
  <c r="P26" i="2"/>
  <c r="S33" i="2"/>
  <c r="J35" i="2"/>
  <c r="AB21" i="2"/>
  <c r="M31" i="2"/>
  <c r="Q33" i="2"/>
  <c r="J30" i="2"/>
  <c r="M33" i="2"/>
  <c r="M34" i="2"/>
  <c r="M35" i="2"/>
  <c r="M36" i="2"/>
  <c r="M37" i="2"/>
  <c r="N30" i="2"/>
  <c r="AB24" i="2"/>
  <c r="J34" i="2"/>
  <c r="J36" i="2"/>
  <c r="J37" i="2"/>
  <c r="M32" i="2"/>
  <c r="S32" i="2"/>
  <c r="J31" i="2"/>
  <c r="W35" i="2"/>
  <c r="P32" i="2"/>
  <c r="Q32" i="2"/>
  <c r="AB26" i="2"/>
  <c r="P33" i="2"/>
  <c r="Q34" i="2"/>
  <c r="P35" i="2"/>
  <c r="Q35" i="2"/>
  <c r="S35" i="2"/>
  <c r="S17" i="2"/>
  <c r="P30" i="2"/>
  <c r="AB32" i="2"/>
  <c r="S25" i="2"/>
  <c r="AB33" i="2"/>
  <c r="P25" i="2"/>
  <c r="S30" i="2"/>
  <c r="P31" i="2"/>
  <c r="S31" i="2"/>
  <c r="S36" i="2"/>
  <c r="S37" i="2"/>
  <c r="P37" i="2"/>
  <c r="P36" i="2"/>
  <c r="S26" i="2"/>
  <c r="P27" i="2"/>
  <c r="P14" i="2"/>
  <c r="N25" i="2"/>
  <c r="M14" i="2"/>
  <c r="P15" i="2"/>
  <c r="S29" i="2"/>
  <c r="N20" i="2"/>
  <c r="N22" i="2"/>
  <c r="N26" i="2"/>
  <c r="AB27" i="2"/>
  <c r="S22" i="2"/>
  <c r="S24" i="2"/>
  <c r="N27" i="2"/>
  <c r="N15" i="2"/>
  <c r="N16" i="2"/>
  <c r="P16" i="2" s="1"/>
  <c r="N28" i="2"/>
  <c r="S14" i="2"/>
  <c r="N29" i="2"/>
  <c r="N17" i="2"/>
  <c r="S23" i="2"/>
  <c r="S16" i="2"/>
  <c r="N19" i="2"/>
  <c r="N21" i="2"/>
  <c r="S18" i="2"/>
  <c r="N23" i="2"/>
  <c r="S21" i="2"/>
  <c r="S27" i="2"/>
  <c r="N24" i="2"/>
  <c r="J23" i="2"/>
  <c r="S20" i="2"/>
  <c r="S19" i="2"/>
  <c r="J22" i="2"/>
  <c r="S28" i="2"/>
  <c r="S15" i="2"/>
  <c r="J29" i="2"/>
  <c r="J28" i="2"/>
  <c r="P23" i="2"/>
  <c r="Q23" i="2"/>
  <c r="P22" i="2"/>
  <c r="Q22" i="2"/>
  <c r="AB17" i="2"/>
  <c r="X3" i="2"/>
  <c r="X4" i="2"/>
  <c r="N6" i="2"/>
  <c r="AB15" i="2"/>
  <c r="X15" i="2"/>
  <c r="P29" i="2"/>
  <c r="N10" i="2"/>
  <c r="N5" i="2"/>
  <c r="N8" i="2"/>
  <c r="N7" i="2"/>
  <c r="Y2" i="2"/>
  <c r="N11" i="2"/>
  <c r="Y8" i="2"/>
  <c r="N12" i="2"/>
  <c r="Y7" i="2"/>
  <c r="N13" i="2"/>
  <c r="Y6" i="2"/>
  <c r="Y5" i="2"/>
  <c r="X195" i="2" l="1"/>
  <c r="P155" i="2"/>
  <c r="P158" i="2"/>
  <c r="Q156" i="2"/>
  <c r="X35" i="2"/>
  <c r="Y35" i="2"/>
  <c r="W85" i="2"/>
  <c r="Y85" i="2" s="1"/>
  <c r="W84" i="2"/>
  <c r="Y84" i="2" s="1"/>
  <c r="W82" i="2"/>
  <c r="Y82" i="2" s="1"/>
  <c r="Q19" i="2"/>
  <c r="Q20" i="2"/>
  <c r="W87" i="2"/>
  <c r="Y87" i="2" s="1"/>
  <c r="Q212" i="2"/>
  <c r="Q213" i="2"/>
  <c r="Y212" i="2"/>
  <c r="Y213" i="2"/>
  <c r="Y210" i="2"/>
  <c r="Y209" i="2"/>
  <c r="Y211" i="2"/>
  <c r="Q211" i="2"/>
  <c r="Q209" i="2"/>
  <c r="Q210" i="2"/>
  <c r="Q215" i="2"/>
  <c r="Y183" i="2"/>
  <c r="Y215" i="2"/>
  <c r="Y214" i="2"/>
  <c r="Q214" i="2"/>
  <c r="Y99" i="2"/>
  <c r="Y131" i="2"/>
  <c r="Y126" i="2"/>
  <c r="Y127" i="2"/>
  <c r="Y100" i="2"/>
  <c r="Y132" i="2"/>
  <c r="Y98" i="2"/>
  <c r="Y130" i="2"/>
  <c r="Y96" i="2"/>
  <c r="Y128" i="2"/>
  <c r="Y97" i="2"/>
  <c r="Q130" i="2"/>
  <c r="Q98" i="2"/>
  <c r="Q128" i="2"/>
  <c r="Q96" i="2"/>
  <c r="Q146" i="2"/>
  <c r="Q149" i="2"/>
  <c r="Q148" i="2"/>
  <c r="Q147" i="2"/>
  <c r="Q144" i="2"/>
  <c r="Q145" i="2"/>
  <c r="W146" i="2"/>
  <c r="Y146" i="2" s="1"/>
  <c r="W149" i="2"/>
  <c r="Y149" i="2" s="1"/>
  <c r="W148" i="2"/>
  <c r="Y148" i="2" s="1"/>
  <c r="W147" i="2"/>
  <c r="Y147" i="2" s="1"/>
  <c r="W145" i="2"/>
  <c r="Y145" i="2" s="1"/>
  <c r="W144" i="2"/>
  <c r="Y144" i="2" s="1"/>
  <c r="Y129" i="2"/>
  <c r="W140" i="2"/>
  <c r="Y140" i="2" s="1"/>
  <c r="W142" i="2"/>
  <c r="Y142" i="2" s="1"/>
  <c r="W135" i="2"/>
  <c r="Y135" i="2" s="1"/>
  <c r="W141" i="2"/>
  <c r="Y141" i="2" s="1"/>
  <c r="W139" i="2"/>
  <c r="Y139" i="2" s="1"/>
  <c r="W138" i="2"/>
  <c r="Y138" i="2" s="1"/>
  <c r="W137" i="2"/>
  <c r="Y137" i="2" s="1"/>
  <c r="Q137" i="2"/>
  <c r="Q138" i="2"/>
  <c r="Q139" i="2"/>
  <c r="Q141" i="2"/>
  <c r="Q135" i="2"/>
  <c r="Q142" i="2"/>
  <c r="Q140" i="2"/>
  <c r="Y106" i="2"/>
  <c r="Y109" i="2"/>
  <c r="Y90" i="2"/>
  <c r="Y117" i="2"/>
  <c r="Y112" i="2"/>
  <c r="Y92" i="2"/>
  <c r="Y120" i="2"/>
  <c r="Y111" i="2"/>
  <c r="Y105" i="2"/>
  <c r="Y94" i="2"/>
  <c r="Y123" i="2"/>
  <c r="Q111" i="2"/>
  <c r="Q94" i="2"/>
  <c r="Q92" i="2"/>
  <c r="Q112" i="2"/>
  <c r="Q90" i="2"/>
  <c r="Q109" i="2"/>
  <c r="Q106" i="2"/>
  <c r="Y108" i="2"/>
  <c r="Q108" i="2"/>
  <c r="Y116" i="2"/>
  <c r="Y93" i="2"/>
  <c r="Q93" i="2"/>
  <c r="Y122" i="2"/>
  <c r="Q91" i="2"/>
  <c r="Y91" i="2"/>
  <c r="Y119" i="2"/>
  <c r="Y110" i="2"/>
  <c r="Y107" i="2"/>
  <c r="Y118" i="2"/>
  <c r="Q107" i="2"/>
  <c r="Q110" i="2"/>
  <c r="Y104" i="2"/>
  <c r="Y121" i="2"/>
  <c r="E259" i="2"/>
  <c r="E258" i="2"/>
  <c r="E257" i="2"/>
  <c r="E256" i="2"/>
  <c r="Y169" i="2"/>
  <c r="Y160" i="2"/>
  <c r="Y161" i="2"/>
  <c r="Y162" i="2"/>
  <c r="Y163" i="2"/>
  <c r="Y164" i="2"/>
  <c r="Y241" i="2"/>
  <c r="Y242" i="2"/>
  <c r="Y243" i="2"/>
  <c r="Y244" i="2"/>
  <c r="Y245" i="2"/>
  <c r="Y246" i="2"/>
  <c r="Y250" i="2"/>
  <c r="Y251" i="2"/>
  <c r="Y252" i="2"/>
  <c r="Y54" i="2"/>
  <c r="Y55" i="2"/>
  <c r="Y56" i="2"/>
  <c r="Y57" i="2"/>
  <c r="Y179" i="2"/>
  <c r="Y222" i="2"/>
  <c r="Y223" i="2"/>
  <c r="Y224" i="2"/>
  <c r="Y225" i="2"/>
  <c r="Y226" i="2"/>
  <c r="R241" i="2"/>
  <c r="R242" i="2"/>
  <c r="R243" i="2"/>
  <c r="R244" i="2"/>
  <c r="R245" i="2"/>
  <c r="R246" i="2"/>
  <c r="R247" i="2"/>
  <c r="R248" i="2"/>
  <c r="Q169" i="2"/>
  <c r="Q171" i="2"/>
  <c r="Q172" i="2"/>
  <c r="Q173" i="2"/>
  <c r="Q174" i="2"/>
  <c r="Q175" i="2"/>
  <c r="Q176" i="2"/>
  <c r="Q160" i="2"/>
  <c r="Q161" i="2"/>
  <c r="Q162" i="2"/>
  <c r="Q163" i="2"/>
  <c r="Q164" i="2"/>
  <c r="Q241" i="2"/>
  <c r="Q242" i="2"/>
  <c r="Q243" i="2"/>
  <c r="Q244" i="2"/>
  <c r="Q245" i="2"/>
  <c r="Q246" i="2"/>
  <c r="Q247" i="2"/>
  <c r="Q248" i="2"/>
  <c r="Q250" i="2"/>
  <c r="Q251" i="2"/>
  <c r="Q252" i="2"/>
  <c r="Q54" i="2"/>
  <c r="Q55" i="2"/>
  <c r="Q56" i="2"/>
  <c r="Q57" i="2"/>
  <c r="Q24" i="2"/>
  <c r="Q25" i="2"/>
  <c r="Q26" i="2"/>
  <c r="Q27" i="2"/>
  <c r="Q28" i="2"/>
  <c r="Q29" i="2"/>
  <c r="Q15" i="2"/>
  <c r="Q17" i="2"/>
  <c r="Q21" i="2"/>
  <c r="Q36" i="2"/>
  <c r="Q37" i="2"/>
  <c r="Q223" i="2"/>
  <c r="Q224" i="2"/>
  <c r="Q225" i="2"/>
  <c r="Q226" i="2"/>
  <c r="Q256" i="2" l="1"/>
  <c r="S256" i="2"/>
  <c r="AB257" i="2"/>
  <c r="Q257" i="2"/>
  <c r="S257" i="2"/>
  <c r="Q258" i="2"/>
  <c r="S258" i="2"/>
  <c r="AB259" i="2"/>
  <c r="Q259" i="2"/>
  <c r="S259" i="2"/>
  <c r="P256" i="2"/>
  <c r="J257" i="2"/>
  <c r="P257" i="2"/>
  <c r="J258" i="2"/>
  <c r="P258" i="2"/>
  <c r="J259" i="2"/>
  <c r="P259" i="2"/>
  <c r="J256" i="2"/>
  <c r="P19" i="2" l="1"/>
  <c r="P20" i="2"/>
  <c r="P262" i="2"/>
  <c r="P263" i="2"/>
  <c r="P265" i="2"/>
  <c r="P266" i="2"/>
  <c r="P267" i="2"/>
  <c r="P260" i="2"/>
  <c r="P229" i="2"/>
  <c r="P230" i="2"/>
  <c r="P227" i="2"/>
  <c r="P151" i="2"/>
  <c r="P152" i="2"/>
  <c r="P153" i="2"/>
  <c r="P154" i="2"/>
  <c r="P150" i="2"/>
  <c r="P89" i="2"/>
  <c r="P134" i="2"/>
  <c r="P125" i="2"/>
  <c r="P95" i="2"/>
  <c r="P143" i="2"/>
  <c r="P121" i="2"/>
  <c r="P118" i="2"/>
  <c r="P119" i="2"/>
  <c r="P91" i="2"/>
  <c r="P122" i="2"/>
  <c r="P93" i="2"/>
  <c r="P116" i="2"/>
  <c r="P123" i="2"/>
  <c r="P94" i="2"/>
  <c r="P120" i="2"/>
  <c r="P92" i="2"/>
  <c r="P117" i="2"/>
  <c r="P90" i="2"/>
  <c r="P137" i="2"/>
  <c r="P138" i="2"/>
  <c r="P139" i="2"/>
  <c r="P141" i="2"/>
  <c r="P135" i="2"/>
  <c r="P142" i="2"/>
  <c r="P140" i="2"/>
  <c r="P129" i="2"/>
  <c r="P97" i="2"/>
  <c r="P131" i="2"/>
  <c r="P99" i="2"/>
  <c r="P127" i="2"/>
  <c r="P126" i="2"/>
  <c r="P132" i="2"/>
  <c r="P100" i="2"/>
  <c r="P130" i="2"/>
  <c r="P98" i="2"/>
  <c r="P128" i="2"/>
  <c r="P96" i="2"/>
  <c r="P144" i="2"/>
  <c r="P145" i="2"/>
  <c r="P147" i="2"/>
  <c r="P148" i="2"/>
  <c r="P149" i="2"/>
  <c r="P146" i="2"/>
  <c r="P114" i="2"/>
  <c r="P157" i="2"/>
  <c r="P210" i="2"/>
  <c r="P213" i="2"/>
  <c r="P209" i="2"/>
  <c r="P215" i="2"/>
  <c r="P214" i="2"/>
  <c r="P211" i="2"/>
  <c r="P212" i="2"/>
  <c r="P208" i="2"/>
  <c r="P50" i="2"/>
  <c r="P45" i="2"/>
  <c r="P87" i="2"/>
  <c r="X21" i="2" l="1"/>
  <c r="X20" i="2"/>
  <c r="X19" i="2"/>
  <c r="X36" i="2"/>
  <c r="X37" i="2" l="1"/>
  <c r="W52" i="2"/>
  <c r="Y178" i="2" l="1"/>
  <c r="K169" i="2"/>
  <c r="K176" i="2"/>
  <c r="K175" i="2"/>
  <c r="K174" i="2"/>
  <c r="K173" i="2"/>
  <c r="K172" i="2"/>
  <c r="K171" i="2"/>
  <c r="K168" i="2"/>
  <c r="P170" i="2"/>
  <c r="K170" i="2"/>
  <c r="AB229" i="2"/>
  <c r="X229" i="2"/>
  <c r="X230" i="2"/>
  <c r="AB230" i="2"/>
  <c r="W247" i="2"/>
  <c r="Y247" i="2" s="1"/>
  <c r="W248" i="2"/>
  <c r="Y248" i="2" s="1"/>
</calcChain>
</file>

<file path=xl/sharedStrings.xml><?xml version="1.0" encoding="utf-8"?>
<sst xmlns="http://schemas.openxmlformats.org/spreadsheetml/2006/main" count="1261" uniqueCount="322">
  <si>
    <t>Specimen</t>
  </si>
  <si>
    <t>A1</t>
  </si>
  <si>
    <t>B1</t>
  </si>
  <si>
    <t>B2</t>
  </si>
  <si>
    <t>BV</t>
  </si>
  <si>
    <t>BSV</t>
  </si>
  <si>
    <t>B90-5</t>
  </si>
  <si>
    <t>B45-7</t>
  </si>
  <si>
    <t>B45-5</t>
  </si>
  <si>
    <t>BS90-7A</t>
  </si>
  <si>
    <t>B90-7</t>
  </si>
  <si>
    <t>A10_C</t>
  </si>
  <si>
    <t>A10_S</t>
  </si>
  <si>
    <t>A12_C</t>
  </si>
  <si>
    <t>A12_S</t>
  </si>
  <si>
    <t>A10_VL</t>
  </si>
  <si>
    <t>BI-2/3-B</t>
  </si>
  <si>
    <t>BI-3/5-A</t>
  </si>
  <si>
    <t>NBC</t>
  </si>
  <si>
    <t>NB90-73-B</t>
  </si>
  <si>
    <t>NB45-73-A</t>
  </si>
  <si>
    <t>NB90-73-A</t>
  </si>
  <si>
    <t>NS45-146-A</t>
  </si>
  <si>
    <t>NS90-73-A</t>
  </si>
  <si>
    <t>NB90-45-B</t>
  </si>
  <si>
    <t>NB45-146-A</t>
  </si>
  <si>
    <t>3S-R</t>
  </si>
  <si>
    <t>3S-4LI</t>
  </si>
  <si>
    <t>3S-4LV</t>
  </si>
  <si>
    <t>3S-7LV</t>
  </si>
  <si>
    <t>3S-9LI</t>
  </si>
  <si>
    <t>B1-C</t>
  </si>
  <si>
    <t>B3-NSM-270</t>
  </si>
  <si>
    <t>B4-NSM-180</t>
  </si>
  <si>
    <t>4LI-S2</t>
  </si>
  <si>
    <t>BS1</t>
  </si>
  <si>
    <t>BF2</t>
  </si>
  <si>
    <t>BF3</t>
  </si>
  <si>
    <t>BF5</t>
  </si>
  <si>
    <t>BF6</t>
  </si>
  <si>
    <t>BF7</t>
  </si>
  <si>
    <t>BL</t>
  </si>
  <si>
    <t>BM</t>
  </si>
  <si>
    <t>BH</t>
  </si>
  <si>
    <t>BH-A</t>
  </si>
  <si>
    <t>BH-U1</t>
  </si>
  <si>
    <t>NR-CON</t>
  </si>
  <si>
    <t>MR-CON</t>
  </si>
  <si>
    <t>HR-CON</t>
  </si>
  <si>
    <t>MR-NSM</t>
  </si>
  <si>
    <t>NR-NSM</t>
  </si>
  <si>
    <t>R-S0</t>
  </si>
  <si>
    <t>R-S2-C1</t>
  </si>
  <si>
    <t>R-S3-C1</t>
  </si>
  <si>
    <t>N2-S0</t>
  </si>
  <si>
    <t>N2-S2-C1</t>
  </si>
  <si>
    <t>N2-S2-C2</t>
  </si>
  <si>
    <t>N3-S0</t>
  </si>
  <si>
    <t>N3-S3-C1</t>
  </si>
  <si>
    <t>N3-S3-C2</t>
  </si>
  <si>
    <t>N4-S0</t>
  </si>
  <si>
    <t>Beam1</t>
  </si>
  <si>
    <t>Beam2</t>
  </si>
  <si>
    <t>Beam3</t>
  </si>
  <si>
    <t>Beam4</t>
  </si>
  <si>
    <t>Reference</t>
  </si>
  <si>
    <t>fc</t>
  </si>
  <si>
    <t>Ef</t>
  </si>
  <si>
    <t>Af</t>
  </si>
  <si>
    <t>he</t>
  </si>
  <si>
    <t>hf</t>
  </si>
  <si>
    <t>bw</t>
  </si>
  <si>
    <t>bf</t>
  </si>
  <si>
    <t>Al</t>
  </si>
  <si>
    <t>ff</t>
  </si>
  <si>
    <t>EfAf</t>
  </si>
  <si>
    <t>V</t>
  </si>
  <si>
    <t>alfa_f</t>
  </si>
  <si>
    <t>Rg</t>
  </si>
  <si>
    <t>fst</t>
  </si>
  <si>
    <t>Ast</t>
  </si>
  <si>
    <t>Sst</t>
  </si>
  <si>
    <t>Sf</t>
  </si>
  <si>
    <t>Barros and Dias (2006)</t>
  </si>
  <si>
    <t>Wiwatrojanagul et al. 2012)</t>
  </si>
  <si>
    <t>Al Rjoub et al. 2019)</t>
  </si>
  <si>
    <t>Abdel-Jaber et al. 2021)</t>
  </si>
  <si>
    <t>Alwash et al. 2021</t>
  </si>
  <si>
    <t>Kotynia (2007)</t>
  </si>
  <si>
    <t>Jalali et al. (2012)</t>
  </si>
  <si>
    <t>Singh et al. (2012)</t>
  </si>
  <si>
    <t>Mofidi et al. (2016)</t>
  </si>
  <si>
    <t>Barros et al. (2016)</t>
  </si>
  <si>
    <t>Kuntal et al. (2017)</t>
  </si>
  <si>
    <t>Saadah et al. (2021)</t>
  </si>
  <si>
    <t>T</t>
  </si>
  <si>
    <t>-</t>
  </si>
  <si>
    <t>C-R</t>
  </si>
  <si>
    <t>R</t>
  </si>
  <si>
    <t>A10_IL</t>
  </si>
  <si>
    <t>BI-2/3-A</t>
  </si>
  <si>
    <t>BI-3/5-B</t>
  </si>
  <si>
    <t>BI-4/7-A</t>
  </si>
  <si>
    <t>BI-4/7-B</t>
  </si>
  <si>
    <t>BIs-4/5-A</t>
  </si>
  <si>
    <t>BIs-4/5-B</t>
  </si>
  <si>
    <t>3S-6LV</t>
  </si>
  <si>
    <t>3S-10LV</t>
  </si>
  <si>
    <t>3S-5LI45</t>
  </si>
  <si>
    <t>3S-5LI45F1</t>
  </si>
  <si>
    <t>3S-5LI45F2</t>
  </si>
  <si>
    <t>3S-9LI45</t>
  </si>
  <si>
    <t>3S-5LI60</t>
  </si>
  <si>
    <t>3S-8LI60</t>
  </si>
  <si>
    <t>5S-5LI45</t>
  </si>
  <si>
    <t>5S-5LI45F</t>
  </si>
  <si>
    <t>5S-9LI45</t>
  </si>
  <si>
    <t>5S-5LI60</t>
  </si>
  <si>
    <t>5S-5LI60F</t>
  </si>
  <si>
    <t>5S-8LI60</t>
  </si>
  <si>
    <t>VR</t>
  </si>
  <si>
    <t>IR</t>
  </si>
  <si>
    <t>VRA</t>
  </si>
  <si>
    <t>IRA</t>
  </si>
  <si>
    <t>VRA-W</t>
  </si>
  <si>
    <t>B90-3a</t>
  </si>
  <si>
    <t>B90-3b</t>
  </si>
  <si>
    <t>B90-6a</t>
  </si>
  <si>
    <t>B90-6b</t>
  </si>
  <si>
    <t>B45-3a</t>
  </si>
  <si>
    <t>B45-3b</t>
  </si>
  <si>
    <t>B45-6a</t>
  </si>
  <si>
    <t>B45-6b</t>
  </si>
  <si>
    <t>S90-3a</t>
  </si>
  <si>
    <t>S90-3b</t>
  </si>
  <si>
    <t>S90-6a</t>
  </si>
  <si>
    <t>S90-6b</t>
  </si>
  <si>
    <t>S45-3a</t>
  </si>
  <si>
    <t>S45-3b</t>
  </si>
  <si>
    <t>S45-6a</t>
  </si>
  <si>
    <t>S45-6b</t>
  </si>
  <si>
    <t>SV3</t>
  </si>
  <si>
    <t>SV4</t>
  </si>
  <si>
    <t>SV5</t>
  </si>
  <si>
    <t>SV6</t>
  </si>
  <si>
    <t>SI7</t>
  </si>
  <si>
    <t>SI8</t>
  </si>
  <si>
    <t>SM9</t>
  </si>
  <si>
    <t>SM10</t>
  </si>
  <si>
    <t>C75-90</t>
  </si>
  <si>
    <t>C150-90</t>
  </si>
  <si>
    <t>C300-45</t>
  </si>
  <si>
    <t>HR-NSM</t>
  </si>
  <si>
    <t>4LI-P2</t>
  </si>
  <si>
    <t>4LI4LI-SP1</t>
  </si>
  <si>
    <t>4LI4LV-SP1</t>
  </si>
  <si>
    <t>C+N90-1</t>
  </si>
  <si>
    <t>C+N45-1</t>
  </si>
  <si>
    <t>CS30-S80-I0</t>
  </si>
  <si>
    <t>CS30-S80-I45</t>
  </si>
  <si>
    <t>CS40-S80-I0</t>
  </si>
  <si>
    <t>CS40-S80-I45</t>
  </si>
  <si>
    <t>SLBD-S70-I0</t>
  </si>
  <si>
    <t>SLBD-S70-I45</t>
  </si>
  <si>
    <t>BL-U2</t>
  </si>
  <si>
    <t>BM-U2</t>
  </si>
  <si>
    <t>BH-U2</t>
  </si>
  <si>
    <t>ST-I0-S50</t>
  </si>
  <si>
    <t>ST-I0-S70</t>
  </si>
  <si>
    <t>ST-I0-S90</t>
  </si>
  <si>
    <t>ST-I45-S50</t>
  </si>
  <si>
    <t>ST-I45-S70</t>
  </si>
  <si>
    <t>shape</t>
  </si>
  <si>
    <t>ht</t>
  </si>
  <si>
    <t>rho_sv</t>
  </si>
  <si>
    <t>rho_f</t>
  </si>
  <si>
    <t>Alwash et al. 2022</t>
  </si>
  <si>
    <t>Alwash et al. 2023</t>
  </si>
  <si>
    <t>Alwash et al. 2024</t>
  </si>
  <si>
    <t>adxbf mm2</t>
  </si>
  <si>
    <t>dias and barros 2010,2013</t>
  </si>
  <si>
    <t>C-R-I</t>
  </si>
  <si>
    <t>7S-R-I</t>
  </si>
  <si>
    <t>dias and barros 2011</t>
  </si>
  <si>
    <t>dias and barros 2008</t>
  </si>
  <si>
    <t>Chaallal 2011</t>
  </si>
  <si>
    <t>S0-CON-I</t>
  </si>
  <si>
    <t>S1-CON-I</t>
  </si>
  <si>
    <t>S0-NSM-I</t>
  </si>
  <si>
    <t>S1-NSM-I</t>
  </si>
  <si>
    <t>S3-CON-II</t>
  </si>
  <si>
    <t>S3-NSM-II</t>
  </si>
  <si>
    <t>C</t>
  </si>
  <si>
    <t>Baghi 2015</t>
  </si>
  <si>
    <t>Rahal 2010/ Rahal and Rumaih 2011</t>
  </si>
  <si>
    <t>B2-B90-R200</t>
  </si>
  <si>
    <t>B2-B90-F200</t>
  </si>
  <si>
    <t>B3-B90-R200A</t>
  </si>
  <si>
    <t>B3-B90-F200A</t>
  </si>
  <si>
    <t>B4-B45-R200</t>
  </si>
  <si>
    <t>B4-B45-F200</t>
  </si>
  <si>
    <t>B6-B45-R300</t>
  </si>
  <si>
    <t>B6-B45-F300</t>
  </si>
  <si>
    <t>Cisneros 2012</t>
  </si>
  <si>
    <t>Control</t>
  </si>
  <si>
    <t>Zhang et al. (11)</t>
  </si>
  <si>
    <t>R-U</t>
  </si>
  <si>
    <t>R-S</t>
  </si>
  <si>
    <t>T-U</t>
  </si>
  <si>
    <t>T-S</t>
  </si>
  <si>
    <t>–</t>
  </si>
  <si>
    <t>A10_M</t>
  </si>
  <si>
    <t>A12_M</t>
  </si>
  <si>
    <t>2S-4LV</t>
  </si>
  <si>
    <t>2S-7LV</t>
  </si>
  <si>
    <t>2S-10LV</t>
  </si>
  <si>
    <t>2S-4LI45</t>
  </si>
  <si>
    <t>2S-7LI45</t>
  </si>
  <si>
    <t>2S-10LI45</t>
  </si>
  <si>
    <t>2S-4LI60</t>
  </si>
  <si>
    <t>2S-6LI60</t>
  </si>
  <si>
    <t>2S-9LI60</t>
  </si>
  <si>
    <t>NS-AV-25</t>
  </si>
  <si>
    <t>NS-AV-15</t>
  </si>
  <si>
    <t>NS-AV-10</t>
  </si>
  <si>
    <t>NS-AD-25</t>
  </si>
  <si>
    <t>NS-AD-15</t>
  </si>
  <si>
    <t>HS-BV-16.7</t>
  </si>
  <si>
    <t>B120-12–90</t>
  </si>
  <si>
    <t>B100-15–90</t>
  </si>
  <si>
    <t>B150-15–90</t>
  </si>
  <si>
    <t>B150-15–45</t>
  </si>
  <si>
    <t>B3-NSM-30</t>
  </si>
  <si>
    <t>B4-NSM-30</t>
  </si>
  <si>
    <t>Barros JA, Dias 2005 (12) [38]</t>
  </si>
  <si>
    <t>Shin BG 2011 (12) [42]</t>
  </si>
  <si>
    <t>Cisneros (12) [43]</t>
  </si>
  <si>
    <t>Ramezanpour M, Morshed R, Eslami  (12) [45]</t>
  </si>
  <si>
    <t>Shomali A, Mostofiejad D, Esfahani (12) [19]</t>
  </si>
  <si>
    <t xml:space="preserve"> Ibrahim (12) [22]</t>
  </si>
  <si>
    <t>Sst/he 1</t>
  </si>
  <si>
    <t>rh_l</t>
  </si>
  <si>
    <t>fy_l</t>
  </si>
  <si>
    <t>R-S2-C2</t>
  </si>
  <si>
    <t>R-S3-C2</t>
  </si>
  <si>
    <t>2X3.18X25</t>
  </si>
  <si>
    <t>C1</t>
  </si>
  <si>
    <t>C2</t>
  </si>
  <si>
    <t>C-1</t>
  </si>
  <si>
    <t>C-2</t>
  </si>
  <si>
    <t>ST_LAM_EPX1</t>
  </si>
  <si>
    <t>ST_LAM_EPX2</t>
  </si>
  <si>
    <t>ST_TXT_EPX1</t>
  </si>
  <si>
    <t>ST_TXT_EPX2</t>
  </si>
  <si>
    <t>ST_TXT-1_CBA1</t>
  </si>
  <si>
    <t>ST_TXT-1_CBA2</t>
  </si>
  <si>
    <t>R-C-R</t>
  </si>
  <si>
    <t>R-NSM-4L90</t>
  </si>
  <si>
    <t>T-C-R</t>
  </si>
  <si>
    <t>T-7S-R</t>
  </si>
  <si>
    <t>T-NSM-3L45</t>
  </si>
  <si>
    <t>R-7S-R</t>
  </si>
  <si>
    <t>Ref</t>
  </si>
  <si>
    <t>B46-3a</t>
  </si>
  <si>
    <t>B46-3b</t>
  </si>
  <si>
    <t>6S-R</t>
  </si>
  <si>
    <t>2S-R</t>
  </si>
  <si>
    <t>2S-3LV</t>
  </si>
  <si>
    <t>2S-5LV</t>
  </si>
  <si>
    <t>2S-8LV</t>
  </si>
  <si>
    <t>2S-8LI45</t>
  </si>
  <si>
    <t>2S-7LI60</t>
  </si>
  <si>
    <t>2S-5LI60</t>
  </si>
  <si>
    <t>2S-5LI45</t>
  </si>
  <si>
    <t>2S-3LI60</t>
  </si>
  <si>
    <t>2S-3LI45</t>
  </si>
  <si>
    <t>4S-4LI45</t>
  </si>
  <si>
    <t>4S-4LI60</t>
  </si>
  <si>
    <t>4S-4LVa</t>
  </si>
  <si>
    <t>4S-4LV</t>
  </si>
  <si>
    <t>4S-6LI60</t>
  </si>
  <si>
    <t>4S-7LI45</t>
  </si>
  <si>
    <t>4S-7LV</t>
  </si>
  <si>
    <t>4S-R</t>
  </si>
  <si>
    <t>5S-R</t>
  </si>
  <si>
    <t>Dias 2012</t>
  </si>
  <si>
    <t>BI-I</t>
  </si>
  <si>
    <t>B5-B45-R200</t>
  </si>
  <si>
    <t>B5-B45-F200</t>
  </si>
  <si>
    <t>FX-I0-S90</t>
  </si>
  <si>
    <t>FX-I0-S70</t>
  </si>
  <si>
    <t>FX-I0-S50</t>
  </si>
  <si>
    <t>FX-I45-S50</t>
  </si>
  <si>
    <t>FX-I45-S70</t>
  </si>
  <si>
    <t>B3-NSM-540</t>
  </si>
  <si>
    <t>B1-REF-30</t>
  </si>
  <si>
    <t>B2-REF-30</t>
  </si>
  <si>
    <t>A75-90</t>
  </si>
  <si>
    <t>A150-90</t>
  </si>
  <si>
    <t>A300-45</t>
  </si>
  <si>
    <t>CON (Modify fc)</t>
  </si>
  <si>
    <t>BS2</t>
  </si>
  <si>
    <t>BF4</t>
  </si>
  <si>
    <t>fstAst</t>
  </si>
  <si>
    <t>Ls_he</t>
  </si>
  <si>
    <t>Sst_he</t>
  </si>
  <si>
    <t>Sf_he</t>
  </si>
  <si>
    <t>Abdel-Jaber et al.’s [35]</t>
  </si>
  <si>
    <t>Barros and Dias [28]</t>
  </si>
  <si>
    <t>De Lorenzis and Nanni [6]</t>
  </si>
  <si>
    <t>Dias and Barros [5,30]</t>
  </si>
  <si>
    <t>Dias and Barros [5,30] 2008</t>
  </si>
  <si>
    <t>Dias and Barros [5,30] 2012</t>
  </si>
  <si>
    <t>Dias and Barros [31] 2017</t>
  </si>
  <si>
    <t>Islam [3]</t>
  </si>
  <si>
    <t>Khalifa et al. [27]</t>
  </si>
  <si>
    <t>Kotynia [2]</t>
  </si>
  <si>
    <t>Mofii et al. [10]</t>
  </si>
  <si>
    <t>Rahal and Rumaih [29]</t>
  </si>
  <si>
    <t>Rizzo and De Lorenzis [8]</t>
  </si>
  <si>
    <t>Sayed-Ahmed et al. [32]</t>
  </si>
  <si>
    <t>Zhang et al. [34]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</si>
</sst>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theme="1"/>
      <name val="Times New Roman"/>
      <family val="1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Fill="1" applyBorder="1"/>
    <xf numFmtId="0" fontId="0" fillId="0" borderId="0" xfId="0" applyFont="1" applyFill="1" applyBorder="1"/>
    <xf numFmtId="0" fontId="0" fillId="0" borderId="0" xfId="0" applyFill="1" applyBorder="1"/>
    <xf numFmtId="0" fontId="4" fillId="0" borderId="0" xfId="0" applyFont="1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right"/>
    </xf>
    <xf numFmtId="0" fontId="3" fillId="0" borderId="1" xfId="0" applyFont="1" applyFill="1" applyBorder="1"/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/>
    <xf numFmtId="0" fontId="3" fillId="0" borderId="1" xfId="0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sama\OneDrive\Desktop\dataaa\data111%20(2).xlsx" TargetMode="External"/><Relationship Id="rId1" Type="http://schemas.openxmlformats.org/officeDocument/2006/relationships/externalLinkPath" Target="dataaa/data111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 (1)_Ref."/>
      <sheetName val="3 (1)_541data"/>
      <sheetName val="3_1"/>
      <sheetName val="2_18"/>
      <sheetName val="1_17"/>
      <sheetName val="1_24"/>
      <sheetName val="2_16"/>
    </sheetNames>
    <sheetDataSet>
      <sheetData sheetId="0"/>
      <sheetData sheetId="1"/>
      <sheetData sheetId="2"/>
      <sheetData sheetId="3"/>
      <sheetData sheetId="4"/>
      <sheetData sheetId="5">
        <row r="1">
          <cell r="P1" t="str">
            <v>ratio</v>
          </cell>
        </row>
        <row r="2">
          <cell r="J2">
            <v>3.9575999999999998</v>
          </cell>
          <cell r="P2">
            <v>1.160487853770779</v>
          </cell>
          <cell r="T2">
            <v>1</v>
          </cell>
        </row>
        <row r="3">
          <cell r="J3">
            <v>3.9575999999999998</v>
          </cell>
          <cell r="P3">
            <v>1.0741015369844709</v>
          </cell>
          <cell r="T3">
            <v>0.98403068340306843</v>
          </cell>
        </row>
        <row r="4">
          <cell r="J4">
            <v>3.9575999999999998</v>
          </cell>
          <cell r="P4">
            <v>1.2448791872163116</v>
          </cell>
          <cell r="T4">
            <v>0.84903730445246695</v>
          </cell>
        </row>
        <row r="5">
          <cell r="J5">
            <v>3.9575999999999998</v>
          </cell>
          <cell r="P5">
            <v>1.143011816902582</v>
          </cell>
          <cell r="T5">
            <v>0.92470511140235911</v>
          </cell>
        </row>
        <row r="6">
          <cell r="J6">
            <v>3.9575999999999998</v>
          </cell>
          <cell r="P6">
            <v>0.88534729199138396</v>
          </cell>
          <cell r="T6">
            <v>1.193824027072758</v>
          </cell>
        </row>
        <row r="7">
          <cell r="J7">
            <v>9.5472000000000001</v>
          </cell>
          <cell r="P7">
            <v>0.80253996066753974</v>
          </cell>
          <cell r="T7">
            <v>1</v>
          </cell>
        </row>
        <row r="8">
          <cell r="J8">
            <v>9.5472000000000001</v>
          </cell>
          <cell r="P8">
            <v>0.7762360574479823</v>
          </cell>
          <cell r="T8">
            <v>1.0723321234119783</v>
          </cell>
        </row>
        <row r="9">
          <cell r="J9">
            <v>9.5472000000000001</v>
          </cell>
          <cell r="P9">
            <v>0.95796827416447905</v>
          </cell>
          <cell r="T9">
            <v>0.8689044117647059</v>
          </cell>
        </row>
        <row r="10">
          <cell r="J10">
            <v>9.5472000000000001</v>
          </cell>
          <cell r="P10">
            <v>0.95162877823250824</v>
          </cell>
          <cell r="T10">
            <v>0.87469282013323468</v>
          </cell>
        </row>
        <row r="11">
          <cell r="J11">
            <v>9.5472000000000001</v>
          </cell>
          <cell r="P11">
            <v>0.83258713239883397</v>
          </cell>
          <cell r="T11">
            <v>0.99975465313028766</v>
          </cell>
        </row>
        <row r="12">
          <cell r="J12">
            <v>11.770200000000001</v>
          </cell>
          <cell r="P12">
            <v>0.87511153694316313</v>
          </cell>
          <cell r="T12">
            <v>1</v>
          </cell>
        </row>
        <row r="13">
          <cell r="J13">
            <v>11.770200000000001</v>
          </cell>
          <cell r="P13">
            <v>0.77786913463865859</v>
          </cell>
          <cell r="T13">
            <v>0.92113687359760665</v>
          </cell>
        </row>
        <row r="14">
          <cell r="J14">
            <v>11.770200000000001</v>
          </cell>
          <cell r="P14">
            <v>0.8971385232706145</v>
          </cell>
          <cell r="T14">
            <v>0.79867704280155638</v>
          </cell>
        </row>
        <row r="15">
          <cell r="J15">
            <v>11.770200000000001</v>
          </cell>
          <cell r="P15">
            <v>0.91982879720547439</v>
          </cell>
          <cell r="T15">
            <v>0.77897533206831115</v>
          </cell>
        </row>
        <row r="16">
          <cell r="J16">
            <v>11.770200000000001</v>
          </cell>
          <cell r="P16">
            <v>0.79765039909469027</v>
          </cell>
          <cell r="T16">
            <v>0.8982932166301969</v>
          </cell>
        </row>
        <row r="17">
          <cell r="J17">
            <v>6.7079999999999993</v>
          </cell>
          <cell r="P17">
            <v>1.166592926471808</v>
          </cell>
          <cell r="T17">
            <v>1</v>
          </cell>
        </row>
        <row r="18">
          <cell r="J18">
            <v>6.7079999999999993</v>
          </cell>
          <cell r="P18">
            <v>1.0504723231960633</v>
          </cell>
          <cell r="T18">
            <v>0.95315596330275232</v>
          </cell>
        </row>
        <row r="19">
          <cell r="J19">
            <v>6.7079999999999993</v>
          </cell>
          <cell r="P19">
            <v>1.0697470447225965</v>
          </cell>
          <cell r="T19">
            <v>0.93598198198198201</v>
          </cell>
        </row>
        <row r="20">
          <cell r="J20">
            <v>6.7079999999999993</v>
          </cell>
          <cell r="P20">
            <v>1.1757580131185297</v>
          </cell>
          <cell r="T20">
            <v>0.85159016393442633</v>
          </cell>
        </row>
        <row r="21">
          <cell r="J21">
            <v>6.7079999999999993</v>
          </cell>
          <cell r="P21">
            <v>1.0890217662491299</v>
          </cell>
          <cell r="T21">
            <v>0.91941592920353976</v>
          </cell>
        </row>
        <row r="22">
          <cell r="J22">
            <v>3.7553333333333327</v>
          </cell>
          <cell r="P22">
            <v>0.84529784649727724</v>
          </cell>
          <cell r="T22">
            <v>1</v>
          </cell>
        </row>
        <row r="23">
          <cell r="J23">
            <v>3.7553333333333327</v>
          </cell>
          <cell r="P23">
            <v>0.84968274254931109</v>
          </cell>
          <cell r="T23">
            <v>1.2574597495527728</v>
          </cell>
        </row>
        <row r="24">
          <cell r="J24">
            <v>3.7553333333333327</v>
          </cell>
          <cell r="P24">
            <v>0.94392304673188221</v>
          </cell>
          <cell r="T24">
            <v>1.1319162640901772</v>
          </cell>
        </row>
        <row r="25">
          <cell r="J25">
            <v>3.7553333333333327</v>
          </cell>
          <cell r="P25">
            <v>0.82992267876909454</v>
          </cell>
          <cell r="T25">
            <v>1.2873992673992676</v>
          </cell>
        </row>
        <row r="26">
          <cell r="J26">
            <v>3.7553333333333327</v>
          </cell>
          <cell r="P26">
            <v>0.94544305163805276</v>
          </cell>
          <cell r="T26">
            <v>1.1300964630225081</v>
          </cell>
        </row>
        <row r="27">
          <cell r="J27">
            <v>11.135</v>
          </cell>
          <cell r="P27">
            <v>0.61918011007732388</v>
          </cell>
          <cell r="T27">
            <v>1</v>
          </cell>
        </row>
        <row r="28">
          <cell r="J28">
            <v>11.135</v>
          </cell>
          <cell r="P28">
            <v>0.59925097188421239</v>
          </cell>
          <cell r="T28">
            <v>1.2808019801980197</v>
          </cell>
        </row>
        <row r="29">
          <cell r="J29">
            <v>11.135</v>
          </cell>
          <cell r="P29">
            <v>0.61705050570255526</v>
          </cell>
          <cell r="T29">
            <v>1.2438557692307692</v>
          </cell>
        </row>
        <row r="30">
          <cell r="J30">
            <v>11.135</v>
          </cell>
          <cell r="P30">
            <v>0.63188345055117445</v>
          </cell>
          <cell r="T30">
            <v>1.214657276995305</v>
          </cell>
        </row>
        <row r="31">
          <cell r="J31">
            <v>11.135</v>
          </cell>
          <cell r="P31">
            <v>0.60518414982365998</v>
          </cell>
          <cell r="T31">
            <v>1.2682450980392157</v>
          </cell>
        </row>
        <row r="32">
          <cell r="J32">
            <v>1.8359999999999999</v>
          </cell>
          <cell r="P32">
            <v>1.1859391262190271</v>
          </cell>
          <cell r="T32">
            <v>1</v>
          </cell>
        </row>
        <row r="33">
          <cell r="J33">
            <v>1.8359999999999999</v>
          </cell>
          <cell r="P33">
            <v>0.8713975887436668</v>
          </cell>
          <cell r="T33">
            <v>1.0966564102564103</v>
          </cell>
        </row>
        <row r="34">
          <cell r="J34">
            <v>1.8359999999999999</v>
          </cell>
          <cell r="P34">
            <v>1.0054587562426924</v>
          </cell>
          <cell r="T34">
            <v>0.95043555555555548</v>
          </cell>
        </row>
        <row r="35">
          <cell r="J35">
            <v>1.8359999999999999</v>
          </cell>
          <cell r="P35">
            <v>1.0724893399922053</v>
          </cell>
          <cell r="T35">
            <v>0.89103333333333323</v>
          </cell>
        </row>
        <row r="36">
          <cell r="J36">
            <v>1.8359999999999999</v>
          </cell>
          <cell r="P36">
            <v>1.1171763958252139</v>
          </cell>
          <cell r="T36">
            <v>0.85539199999999993</v>
          </cell>
        </row>
        <row r="37">
          <cell r="J37">
            <v>3.7128000000000001</v>
          </cell>
          <cell r="P37">
            <v>1.2543586911932014</v>
          </cell>
          <cell r="T37">
            <v>1</v>
          </cell>
        </row>
        <row r="38">
          <cell r="J38">
            <v>3.7128000000000001</v>
          </cell>
          <cell r="P38">
            <v>1.0292145169079867</v>
          </cell>
          <cell r="T38">
            <v>0.97846666666666671</v>
          </cell>
        </row>
        <row r="39">
          <cell r="J39">
            <v>3.7128000000000001</v>
          </cell>
          <cell r="P39">
            <v>1.0424095748170634</v>
          </cell>
          <cell r="T39">
            <v>0.96608101265822788</v>
          </cell>
        </row>
        <row r="40">
          <cell r="J40">
            <v>3.7128000000000001</v>
          </cell>
          <cell r="P40">
            <v>1.0819947485442938</v>
          </cell>
          <cell r="T40">
            <v>0.93073658536585369</v>
          </cell>
        </row>
        <row r="41">
          <cell r="J41">
            <v>3.7128000000000001</v>
          </cell>
          <cell r="P41">
            <v>1.1875552118169079</v>
          </cell>
          <cell r="T41">
            <v>0.84800444444444456</v>
          </cell>
        </row>
        <row r="42">
          <cell r="J42">
            <v>1.9384615384615385</v>
          </cell>
          <cell r="P42">
            <v>1.1575948721640332</v>
          </cell>
          <cell r="T42">
            <v>1</v>
          </cell>
        </row>
        <row r="43">
          <cell r="J43">
            <v>1.9384615384615385</v>
          </cell>
          <cell r="P43">
            <v>0.86815328388019508</v>
          </cell>
          <cell r="T43">
            <v>1.1205756097560977</v>
          </cell>
        </row>
        <row r="44">
          <cell r="J44">
            <v>1.9384615384615385</v>
          </cell>
          <cell r="P44">
            <v>0.86815328388019508</v>
          </cell>
          <cell r="T44">
            <v>1.1205756097560977</v>
          </cell>
        </row>
        <row r="45">
          <cell r="J45">
            <v>1.9384615384615385</v>
          </cell>
          <cell r="P45">
            <v>0.95285116523436042</v>
          </cell>
          <cell r="T45">
            <v>1.020968888888889</v>
          </cell>
        </row>
        <row r="46">
          <cell r="J46">
            <v>1.9384615384615385</v>
          </cell>
          <cell r="P46">
            <v>0.97402563557290178</v>
          </cell>
          <cell r="T46">
            <v>0.99877391304347829</v>
          </cell>
        </row>
        <row r="47">
          <cell r="J47">
            <v>3.8769230769230769</v>
          </cell>
          <cell r="P47">
            <v>0.73111255084044202</v>
          </cell>
          <cell r="T47">
            <v>1</v>
          </cell>
        </row>
        <row r="48">
          <cell r="J48">
            <v>3.8769230769230769</v>
          </cell>
          <cell r="P48">
            <v>0.77448336002322149</v>
          </cell>
          <cell r="T48">
            <v>1.2939806451612903</v>
          </cell>
        </row>
        <row r="49">
          <cell r="J49">
            <v>3.8769230769230769</v>
          </cell>
          <cell r="P49">
            <v>0.87441669680041134</v>
          </cell>
          <cell r="T49">
            <v>1.1460971428571429</v>
          </cell>
        </row>
        <row r="50">
          <cell r="J50">
            <v>3.8769230769230769</v>
          </cell>
          <cell r="P50">
            <v>0.9743500335776013</v>
          </cell>
          <cell r="T50">
            <v>1.0285487179487178</v>
          </cell>
        </row>
        <row r="51">
          <cell r="J51">
            <v>3.8769230769230769</v>
          </cell>
          <cell r="P51">
            <v>1.0742833703547912</v>
          </cell>
          <cell r="T51">
            <v>0.93286976744186045</v>
          </cell>
        </row>
        <row r="52">
          <cell r="J52">
            <v>3.1395</v>
          </cell>
          <cell r="P52">
            <v>1.3161941125234844</v>
          </cell>
          <cell r="T52">
            <v>1</v>
          </cell>
        </row>
        <row r="53">
          <cell r="J53">
            <v>3.1395</v>
          </cell>
          <cell r="P53">
            <v>1.1238592218105568</v>
          </cell>
          <cell r="T53">
            <v>0.90472893183038117</v>
          </cell>
        </row>
        <row r="54">
          <cell r="J54">
            <v>3.1395</v>
          </cell>
          <cell r="P54">
            <v>1.1612608706308758</v>
          </cell>
          <cell r="T54">
            <v>0.87558961038961036</v>
          </cell>
        </row>
        <row r="55">
          <cell r="J55">
            <v>3.1395</v>
          </cell>
          <cell r="P55">
            <v>1.1534185894266153</v>
          </cell>
          <cell r="T55">
            <v>0.88154288702928862</v>
          </cell>
        </row>
        <row r="56">
          <cell r="J56">
            <v>3.1395</v>
          </cell>
          <cell r="P56">
            <v>1.1419567938203885</v>
          </cell>
          <cell r="T56">
            <v>0.89039091389329106</v>
          </cell>
        </row>
        <row r="57">
          <cell r="J57">
            <v>1.2709999999999999</v>
          </cell>
          <cell r="P57">
            <v>1.1867510027223147</v>
          </cell>
          <cell r="T57">
            <v>1</v>
          </cell>
        </row>
        <row r="58">
          <cell r="J58">
            <v>1.2709999999999999</v>
          </cell>
          <cell r="P58">
            <v>0.7794068071607434</v>
          </cell>
          <cell r="T58">
            <v>1.1062877697841726</v>
          </cell>
        </row>
        <row r="59">
          <cell r="J59">
            <v>1.2709999999999999</v>
          </cell>
          <cell r="P59">
            <v>0.8108073691758525</v>
          </cell>
          <cell r="T59">
            <v>1.0634439834024896</v>
          </cell>
        </row>
        <row r="60">
          <cell r="J60">
            <v>1.2709999999999999</v>
          </cell>
          <cell r="P60">
            <v>0.990239152119333</v>
          </cell>
          <cell r="T60">
            <v>0.87074745186862967</v>
          </cell>
        </row>
        <row r="61">
          <cell r="J61">
            <v>1.2709999999999999</v>
          </cell>
          <cell r="P61">
            <v>1.1786425242099876</v>
          </cell>
          <cell r="T61">
            <v>0.73156041864890575</v>
          </cell>
        </row>
        <row r="62">
          <cell r="J62">
            <v>2.5830000000000002</v>
          </cell>
          <cell r="P62">
            <v>1.0041096263568801</v>
          </cell>
          <cell r="T62">
            <v>1</v>
          </cell>
        </row>
        <row r="63">
          <cell r="J63">
            <v>2.5830000000000002</v>
          </cell>
          <cell r="P63">
            <v>0.84064571017435474</v>
          </cell>
          <cell r="T63">
            <v>1.2026259289843106</v>
          </cell>
        </row>
        <row r="64">
          <cell r="J64">
            <v>2.5830000000000002</v>
          </cell>
          <cell r="P64">
            <v>0.92602921335473931</v>
          </cell>
          <cell r="T64">
            <v>1.0917391304347828</v>
          </cell>
        </row>
        <row r="65">
          <cell r="J65">
            <v>2.5830000000000002</v>
          </cell>
          <cell r="P65">
            <v>0.90381561903138719</v>
          </cell>
          <cell r="T65">
            <v>1.1185714285714285</v>
          </cell>
        </row>
        <row r="66">
          <cell r="J66">
            <v>2.5830000000000002</v>
          </cell>
          <cell r="P66">
            <v>0.89062629740189692</v>
          </cell>
          <cell r="T66">
            <v>1.1351363990646921</v>
          </cell>
        </row>
        <row r="67">
          <cell r="J67">
            <v>4.5773000000000001</v>
          </cell>
          <cell r="P67">
            <v>1.1279181951187081</v>
          </cell>
          <cell r="T67">
            <v>1</v>
          </cell>
        </row>
        <row r="68">
          <cell r="J68">
            <v>4.5773000000000001</v>
          </cell>
          <cell r="P68">
            <v>1.0017845699742618</v>
          </cell>
          <cell r="T68">
            <v>0.96872340425531911</v>
          </cell>
        </row>
        <row r="69">
          <cell r="J69">
            <v>4.5773000000000001</v>
          </cell>
          <cell r="P69">
            <v>1.0191026542956254</v>
          </cell>
          <cell r="T69">
            <v>0.95226143790849671</v>
          </cell>
        </row>
        <row r="70">
          <cell r="J70">
            <v>4.5773000000000001</v>
          </cell>
          <cell r="P70">
            <v>1.0666163728183409</v>
          </cell>
          <cell r="T70">
            <v>0.90984179850124891</v>
          </cell>
        </row>
        <row r="71">
          <cell r="J71">
            <v>4.5773000000000001</v>
          </cell>
          <cell r="P71">
            <v>1.0017845699742618</v>
          </cell>
          <cell r="T71">
            <v>0.96872340425531911</v>
          </cell>
        </row>
        <row r="72">
          <cell r="J72">
            <v>2.5704000000000002</v>
          </cell>
          <cell r="P72">
            <v>1.0229814798205314</v>
          </cell>
          <cell r="T72">
            <v>1</v>
          </cell>
        </row>
        <row r="73">
          <cell r="J73">
            <v>2.5704000000000002</v>
          </cell>
          <cell r="P73">
            <v>0.78673652226125657</v>
          </cell>
          <cell r="T73">
            <v>1.2087166666666667</v>
          </cell>
        </row>
        <row r="74">
          <cell r="J74">
            <v>2.5704000000000002</v>
          </cell>
          <cell r="P74">
            <v>0.85229789911636133</v>
          </cell>
          <cell r="T74">
            <v>1.1157384615384616</v>
          </cell>
        </row>
        <row r="75">
          <cell r="J75">
            <v>2.5704000000000002</v>
          </cell>
          <cell r="P75">
            <v>0.85229789911636133</v>
          </cell>
          <cell r="T75">
            <v>1.1157384615384616</v>
          </cell>
        </row>
        <row r="76">
          <cell r="J76">
            <v>2.5704000000000002</v>
          </cell>
          <cell r="P76">
            <v>0.85229789911636133</v>
          </cell>
          <cell r="T76">
            <v>1.1157384615384616</v>
          </cell>
        </row>
        <row r="77">
          <cell r="J77">
            <v>3.7128000000000001</v>
          </cell>
          <cell r="P77">
            <v>1.2543586911932014</v>
          </cell>
          <cell r="T77">
            <v>1</v>
          </cell>
        </row>
        <row r="78">
          <cell r="J78">
            <v>3.7128000000000001</v>
          </cell>
          <cell r="P78">
            <v>0.98254162003977619</v>
          </cell>
          <cell r="T78">
            <v>0.97846666666666671</v>
          </cell>
        </row>
        <row r="79">
          <cell r="J79">
            <v>3.7128000000000001</v>
          </cell>
          <cell r="P79">
            <v>0.99513830747618359</v>
          </cell>
          <cell r="T79">
            <v>0.96608101265822788</v>
          </cell>
        </row>
        <row r="80">
          <cell r="J80">
            <v>3.7128000000000001</v>
          </cell>
          <cell r="P80">
            <v>1.0329283697854057</v>
          </cell>
          <cell r="T80">
            <v>0.93073658536585369</v>
          </cell>
        </row>
        <row r="81">
          <cell r="J81">
            <v>3.7128000000000001</v>
          </cell>
          <cell r="P81">
            <v>1.0833151195310353</v>
          </cell>
          <cell r="T81">
            <v>0.887446511627907</v>
          </cell>
        </row>
        <row r="82">
          <cell r="J82">
            <v>6.3</v>
          </cell>
          <cell r="P82">
            <v>0.8832422825745514</v>
          </cell>
          <cell r="T82">
            <v>1</v>
          </cell>
        </row>
        <row r="83">
          <cell r="J83">
            <v>6.3</v>
          </cell>
          <cell r="P83">
            <v>0.78584380961362021</v>
          </cell>
          <cell r="T83">
            <v>1.0608833333333334</v>
          </cell>
        </row>
        <row r="84">
          <cell r="J84">
            <v>6.3</v>
          </cell>
          <cell r="P84">
            <v>0.9004460318489399</v>
          </cell>
          <cell r="T84">
            <v>0.92586181818181823</v>
          </cell>
        </row>
        <row r="85">
          <cell r="J85">
            <v>6.3</v>
          </cell>
          <cell r="P85">
            <v>0.9004460318489399</v>
          </cell>
          <cell r="T85">
            <v>0.92586181818181823</v>
          </cell>
        </row>
        <row r="86">
          <cell r="J86">
            <v>6.3</v>
          </cell>
          <cell r="P86">
            <v>0.81858730168085447</v>
          </cell>
          <cell r="T86">
            <v>1.018448</v>
          </cell>
        </row>
        <row r="87">
          <cell r="J87">
            <v>5.1660000000000004</v>
          </cell>
          <cell r="P87">
            <v>0.8329019942130802</v>
          </cell>
          <cell r="T87">
            <v>1</v>
          </cell>
        </row>
        <row r="88">
          <cell r="J88">
            <v>5.1660000000000004</v>
          </cell>
          <cell r="P88">
            <v>0.73723192528584514</v>
          </cell>
          <cell r="T88">
            <v>1.2242493506493506</v>
          </cell>
        </row>
        <row r="89">
          <cell r="J89">
            <v>5.1660000000000004</v>
          </cell>
          <cell r="P89">
            <v>0.84255077175525162</v>
          </cell>
          <cell r="T89">
            <v>1.0712181818181818</v>
          </cell>
        </row>
        <row r="90">
          <cell r="J90">
            <v>5.1660000000000004</v>
          </cell>
          <cell r="P90">
            <v>0.84255077175525162</v>
          </cell>
          <cell r="T90">
            <v>1.0712181818181818</v>
          </cell>
        </row>
        <row r="91">
          <cell r="J91">
            <v>5.1660000000000004</v>
          </cell>
          <cell r="P91">
            <v>0.88084853410776309</v>
          </cell>
          <cell r="T91">
            <v>1.0246434782608695</v>
          </cell>
        </row>
        <row r="92">
          <cell r="J92">
            <v>6.93</v>
          </cell>
          <cell r="P92">
            <v>0.76803676745613181</v>
          </cell>
          <cell r="T92">
            <v>1</v>
          </cell>
        </row>
        <row r="93">
          <cell r="J93">
            <v>6.93</v>
          </cell>
          <cell r="P93">
            <v>0.82970120317536011</v>
          </cell>
          <cell r="T93">
            <v>0.95450909090909086</v>
          </cell>
        </row>
        <row r="94">
          <cell r="J94">
            <v>6.93</v>
          </cell>
          <cell r="P94">
            <v>0.69393191538302845</v>
          </cell>
          <cell r="T94">
            <v>1.1412608695652173</v>
          </cell>
        </row>
        <row r="95">
          <cell r="J95">
            <v>6.93</v>
          </cell>
          <cell r="P95">
            <v>0.82970120317536011</v>
          </cell>
          <cell r="T95">
            <v>0.95450909090909086</v>
          </cell>
        </row>
        <row r="96">
          <cell r="J96">
            <v>6.93</v>
          </cell>
          <cell r="P96">
            <v>0.78444477391124956</v>
          </cell>
          <cell r="T96">
            <v>1.0095769230769229</v>
          </cell>
        </row>
        <row r="97">
          <cell r="J97">
            <v>8.4420000000000002</v>
          </cell>
          <cell r="P97">
            <v>0.49552834232826287</v>
          </cell>
          <cell r="T97">
            <v>1</v>
          </cell>
        </row>
        <row r="98">
          <cell r="J98">
            <v>8.4420000000000002</v>
          </cell>
          <cell r="P98">
            <v>0.55254390245739549</v>
          </cell>
          <cell r="T98">
            <v>1.2526909090909091</v>
          </cell>
        </row>
        <row r="99">
          <cell r="J99">
            <v>8.4420000000000002</v>
          </cell>
          <cell r="P99">
            <v>0.56510171842233636</v>
          </cell>
          <cell r="T99">
            <v>1.2248533333333333</v>
          </cell>
        </row>
        <row r="100">
          <cell r="J100">
            <v>8.4420000000000002</v>
          </cell>
          <cell r="P100">
            <v>0.50231263859763231</v>
          </cell>
          <cell r="T100">
            <v>1.3779600000000001</v>
          </cell>
        </row>
        <row r="101">
          <cell r="J101">
            <v>8.4420000000000002</v>
          </cell>
          <cell r="P101">
            <v>0.50231263859763231</v>
          </cell>
          <cell r="T101">
            <v>1.3779600000000001</v>
          </cell>
        </row>
        <row r="102">
          <cell r="J102">
            <v>12.095999999999998</v>
          </cell>
          <cell r="P102">
            <v>0.47502274028862318</v>
          </cell>
          <cell r="T102">
            <v>1</v>
          </cell>
        </row>
        <row r="103">
          <cell r="J103">
            <v>12.095999999999998</v>
          </cell>
          <cell r="P103">
            <v>0.5046093180341954</v>
          </cell>
          <cell r="T103">
            <v>1.05888</v>
          </cell>
        </row>
        <row r="104">
          <cell r="J104">
            <v>12.095999999999998</v>
          </cell>
          <cell r="P104">
            <v>0.46791045854079938</v>
          </cell>
          <cell r="T104">
            <v>1.1419294117647059</v>
          </cell>
        </row>
        <row r="105">
          <cell r="J105">
            <v>12.095999999999998</v>
          </cell>
          <cell r="P105">
            <v>0.5046093180341954</v>
          </cell>
          <cell r="T105">
            <v>1.05888</v>
          </cell>
        </row>
        <row r="106">
          <cell r="J106">
            <v>12.095999999999998</v>
          </cell>
          <cell r="P106">
            <v>0.5046093180341954</v>
          </cell>
          <cell r="T106">
            <v>1.05888</v>
          </cell>
        </row>
        <row r="107">
          <cell r="J107">
            <v>12.095999999999998</v>
          </cell>
          <cell r="P107">
            <v>0.54002585211759269</v>
          </cell>
          <cell r="T107">
            <v>1</v>
          </cell>
        </row>
        <row r="108">
          <cell r="J108">
            <v>12.095999999999998</v>
          </cell>
          <cell r="P108">
            <v>0.55965760727428948</v>
          </cell>
          <cell r="T108">
            <v>0.95472786885245897</v>
          </cell>
        </row>
        <row r="109">
          <cell r="J109">
            <v>12.095999999999998</v>
          </cell>
          <cell r="P109">
            <v>0.5504828924009405</v>
          </cell>
          <cell r="T109">
            <v>0.97063999999999995</v>
          </cell>
        </row>
        <row r="110">
          <cell r="J110">
            <v>12.095999999999998</v>
          </cell>
          <cell r="P110">
            <v>0.56883232214763846</v>
          </cell>
          <cell r="T110">
            <v>0.93932903225806452</v>
          </cell>
        </row>
        <row r="111">
          <cell r="J111">
            <v>12.095999999999998</v>
          </cell>
          <cell r="P111">
            <v>0.5046093180341954</v>
          </cell>
          <cell r="T111">
            <v>1.05888</v>
          </cell>
        </row>
        <row r="112">
          <cell r="J112">
            <v>17.058999999999997</v>
          </cell>
          <cell r="P112">
            <v>0.51071731479629079</v>
          </cell>
          <cell r="T112">
            <v>0.92193103448275859</v>
          </cell>
        </row>
        <row r="113">
          <cell r="J113">
            <v>25.5885</v>
          </cell>
          <cell r="P113">
            <v>0.44170155433561276</v>
          </cell>
          <cell r="T113">
            <v>1.0522270642201834</v>
          </cell>
        </row>
        <row r="114">
          <cell r="J114">
            <v>42.891199999999998</v>
          </cell>
          <cell r="P114">
            <v>0.34831962926666782</v>
          </cell>
          <cell r="T114">
            <v>1.3673696498054475</v>
          </cell>
        </row>
        <row r="115">
          <cell r="J115">
            <v>10.263800000000002</v>
          </cell>
          <cell r="P115">
            <v>0.63034624974311104</v>
          </cell>
          <cell r="T115">
            <v>1.0014420289855073</v>
          </cell>
        </row>
        <row r="116">
          <cell r="J116">
            <v>35.617800000000003</v>
          </cell>
          <cell r="P116">
            <v>0.38765966349929221</v>
          </cell>
          <cell r="T116">
            <v>1.2227413793103448</v>
          </cell>
        </row>
        <row r="117">
          <cell r="J117">
            <v>10.5</v>
          </cell>
          <cell r="P117">
            <v>0.69232837426062022</v>
          </cell>
          <cell r="T117">
            <v>0.89716828478964405</v>
          </cell>
        </row>
        <row r="118">
          <cell r="J118">
            <v>4.2629999999999999</v>
          </cell>
          <cell r="P118">
            <v>1.0530288449108454</v>
          </cell>
          <cell r="T118">
            <v>0.81144501278772374</v>
          </cell>
        </row>
        <row r="119">
          <cell r="J119">
            <v>25.5885</v>
          </cell>
          <cell r="P119">
            <v>0.39538024893995349</v>
          </cell>
          <cell r="T119">
            <v>1</v>
          </cell>
        </row>
        <row r="120">
          <cell r="J120">
            <v>10.5</v>
          </cell>
          <cell r="P120">
            <v>0.6863839285714286</v>
          </cell>
          <cell r="T120">
            <v>1</v>
          </cell>
        </row>
        <row r="121">
          <cell r="J121">
            <v>22.982999999999997</v>
          </cell>
          <cell r="P121">
            <v>0.45370517643762359</v>
          </cell>
          <cell r="T121">
            <v>1</v>
          </cell>
        </row>
        <row r="122">
          <cell r="J122">
            <v>8.6480000000000015</v>
          </cell>
          <cell r="P122">
            <v>0.46340565966406666</v>
          </cell>
          <cell r="T122">
            <v>1.0385465622280243</v>
          </cell>
        </row>
        <row r="123">
          <cell r="J123">
            <v>12.642999999999999</v>
          </cell>
          <cell r="P123">
            <v>0.51526901000324266</v>
          </cell>
          <cell r="T123">
            <v>0.87872714285714282</v>
          </cell>
        </row>
        <row r="124">
          <cell r="J124">
            <v>22.982999999999997</v>
          </cell>
          <cell r="P124">
            <v>0.52187724300799421</v>
          </cell>
          <cell r="T124">
            <v>0.90073067119796091</v>
          </cell>
        </row>
        <row r="125">
          <cell r="J125">
            <v>22.982999999999997</v>
          </cell>
          <cell r="P125">
            <v>0.46733951922720973</v>
          </cell>
          <cell r="T125">
            <v>1.0058444022770399</v>
          </cell>
        </row>
        <row r="126">
          <cell r="J126">
            <v>44.414999999999999</v>
          </cell>
          <cell r="P126">
            <v>0.39900717772145822</v>
          </cell>
          <cell r="T126">
            <v>1.2155278396436526</v>
          </cell>
        </row>
        <row r="127">
          <cell r="J127">
            <v>38.492999999999995</v>
          </cell>
          <cell r="P127">
            <v>0.40385709706697331</v>
          </cell>
          <cell r="T127">
            <v>1.1819869158878504</v>
          </cell>
        </row>
        <row r="128">
          <cell r="J128">
            <v>32.006999999999998</v>
          </cell>
          <cell r="P128">
            <v>0.43575473689969507</v>
          </cell>
          <cell r="T128">
            <v>1.1038925979680696</v>
          </cell>
        </row>
        <row r="129">
          <cell r="J129">
            <v>28.763999999999999</v>
          </cell>
          <cell r="P129">
            <v>0.44195595198784132</v>
          </cell>
          <cell r="T129">
            <v>1.0719239543726236</v>
          </cell>
        </row>
        <row r="130">
          <cell r="J130">
            <v>25.004000000000001</v>
          </cell>
          <cell r="P130">
            <v>0.46196114454209075</v>
          </cell>
          <cell r="T130">
            <v>1.0326864406779661</v>
          </cell>
        </row>
        <row r="131">
          <cell r="J131">
            <v>43.178899999999992</v>
          </cell>
          <cell r="P131">
            <v>0.39423783897882286</v>
          </cell>
          <cell r="T131">
            <v>1.2231112716763006</v>
          </cell>
        </row>
        <row r="132">
          <cell r="J132">
            <v>22.982999999999997</v>
          </cell>
          <cell r="P132">
            <v>0.45270744699334076</v>
          </cell>
          <cell r="T132">
            <v>1.0383545543584722</v>
          </cell>
        </row>
        <row r="133">
          <cell r="J133">
            <v>22.982999999999997</v>
          </cell>
          <cell r="P133">
            <v>0.50325460561943369</v>
          </cell>
          <cell r="T133">
            <v>0.93406167400881057</v>
          </cell>
        </row>
        <row r="134">
          <cell r="J134">
            <v>22.982999999999997</v>
          </cell>
          <cell r="P134">
            <v>0.46822631148380789</v>
          </cell>
          <cell r="T134">
            <v>1.0039393939393941</v>
          </cell>
        </row>
        <row r="135">
          <cell r="J135">
            <v>22.982999999999997</v>
          </cell>
          <cell r="P135">
            <v>0.46334895407251819</v>
          </cell>
          <cell r="T135">
            <v>1.0145071770334928</v>
          </cell>
        </row>
        <row r="136">
          <cell r="J136">
            <v>22.982999999999997</v>
          </cell>
          <cell r="P136">
            <v>0.4500470702235464</v>
          </cell>
          <cell r="T136">
            <v>1.0444926108374384</v>
          </cell>
        </row>
        <row r="137">
          <cell r="J137">
            <v>22.982999999999997</v>
          </cell>
          <cell r="P137">
            <v>0.41014141867663095</v>
          </cell>
          <cell r="T137">
            <v>1.1461189189189189</v>
          </cell>
        </row>
        <row r="138">
          <cell r="J138">
            <v>22.982999999999997</v>
          </cell>
          <cell r="P138">
            <v>0.47044329212530317</v>
          </cell>
          <cell r="T138">
            <v>0.99920829406220557</v>
          </cell>
        </row>
        <row r="139">
          <cell r="J139">
            <v>22.982999999999997</v>
          </cell>
          <cell r="P139">
            <v>0.48995272177046184</v>
          </cell>
          <cell r="T139">
            <v>0.95942081447963801</v>
          </cell>
        </row>
        <row r="140">
          <cell r="J140">
            <v>22.982999999999997</v>
          </cell>
          <cell r="P140">
            <v>0.55380176424552652</v>
          </cell>
          <cell r="T140">
            <v>0.84880704563650922</v>
          </cell>
        </row>
        <row r="141">
          <cell r="J141">
            <v>22.982999999999997</v>
          </cell>
          <cell r="P141">
            <v>0.5901602467660495</v>
          </cell>
          <cell r="T141">
            <v>0.79651389932381678</v>
          </cell>
        </row>
        <row r="142">
          <cell r="J142">
            <v>3.996999999999999</v>
          </cell>
          <cell r="P142">
            <v>0.50973721567576069</v>
          </cell>
          <cell r="T142">
            <v>1</v>
          </cell>
        </row>
        <row r="143">
          <cell r="J143">
            <v>3.996999999999999</v>
          </cell>
          <cell r="P143">
            <v>0.53759440695380534</v>
          </cell>
          <cell r="T143">
            <v>1.1734851851851853</v>
          </cell>
        </row>
        <row r="144">
          <cell r="J144">
            <v>3.996999999999999</v>
          </cell>
          <cell r="P144">
            <v>0.54954094933055653</v>
          </cell>
          <cell r="T144">
            <v>1.1479746376811595</v>
          </cell>
        </row>
        <row r="145">
          <cell r="J145">
            <v>3.996999999999999</v>
          </cell>
          <cell r="P145">
            <v>0.60330039002593716</v>
          </cell>
          <cell r="T145">
            <v>1.0456798679867987</v>
          </cell>
        </row>
        <row r="146">
          <cell r="J146">
            <v>5.95</v>
          </cell>
          <cell r="P146">
            <v>0.39065212862004306</v>
          </cell>
          <cell r="T146">
            <v>1</v>
          </cell>
        </row>
        <row r="147">
          <cell r="J147">
            <v>5.95</v>
          </cell>
          <cell r="P147">
            <v>0.47564324378499906</v>
          </cell>
          <cell r="T147">
            <v>1.0312380952380953</v>
          </cell>
        </row>
        <row r="148">
          <cell r="J148">
            <v>5.95</v>
          </cell>
          <cell r="P148">
            <v>0.513864575874865</v>
          </cell>
          <cell r="T148">
            <v>0.954534435261708</v>
          </cell>
        </row>
        <row r="149">
          <cell r="J149">
            <v>5.95</v>
          </cell>
          <cell r="P149">
            <v>0.43317509701848128</v>
          </cell>
          <cell r="T149">
            <v>1.1323398692810456</v>
          </cell>
        </row>
        <row r="150">
          <cell r="J150">
            <v>3.9899999999999993</v>
          </cell>
          <cell r="P150">
            <v>0.61016272681004768</v>
          </cell>
          <cell r="T150">
            <v>1.0351503267973856</v>
          </cell>
        </row>
        <row r="151">
          <cell r="J151">
            <v>3.9899999999999993</v>
          </cell>
          <cell r="P151">
            <v>0.67596458950524896</v>
          </cell>
          <cell r="T151">
            <v>0.93438348082595868</v>
          </cell>
        </row>
        <row r="152">
          <cell r="J152">
            <v>9.2446599819635633</v>
          </cell>
          <cell r="P152">
            <v>0.44715425144203047</v>
          </cell>
          <cell r="T152">
            <v>1.0214622030237581</v>
          </cell>
        </row>
        <row r="153">
          <cell r="J153">
            <v>13.276119226658176</v>
          </cell>
          <cell r="P153">
            <v>0.4966795424885887</v>
          </cell>
          <cell r="T153">
            <v>0.88974786324786315</v>
          </cell>
        </row>
        <row r="154">
          <cell r="J154">
            <v>22.390256505840597</v>
          </cell>
          <cell r="P154">
            <v>0.52031968588789823</v>
          </cell>
          <cell r="T154">
            <v>0.88944322033898304</v>
          </cell>
        </row>
        <row r="155">
          <cell r="J155">
            <v>22.390256505840597</v>
          </cell>
          <cell r="P155">
            <v>0.4744921076374754</v>
          </cell>
          <cell r="T155">
            <v>1</v>
          </cell>
        </row>
        <row r="156">
          <cell r="J156">
            <v>22.390256505840597</v>
          </cell>
          <cell r="P156">
            <v>0.45770494402681217</v>
          </cell>
          <cell r="T156">
            <v>1.0111204238921003</v>
          </cell>
        </row>
        <row r="157">
          <cell r="J157">
            <v>3.515711458737286</v>
          </cell>
          <cell r="P157">
            <v>1.1950242770283148</v>
          </cell>
          <cell r="T157">
            <v>1</v>
          </cell>
        </row>
        <row r="158">
          <cell r="J158">
            <v>3.515711458737286</v>
          </cell>
          <cell r="P158">
            <v>0.98732679909981236</v>
          </cell>
          <cell r="T158">
            <v>0.9373538461538462</v>
          </cell>
        </row>
        <row r="159">
          <cell r="J159">
            <v>3.515711458737286</v>
          </cell>
          <cell r="P159">
            <v>1.0025164421628865</v>
          </cell>
          <cell r="T159">
            <v>0.92315151515151517</v>
          </cell>
        </row>
        <row r="160">
          <cell r="J160">
            <v>3.515711458737286</v>
          </cell>
          <cell r="P160">
            <v>1.1392232297305527</v>
          </cell>
          <cell r="T160">
            <v>0.81237333333333339</v>
          </cell>
        </row>
        <row r="161">
          <cell r="J161">
            <v>5.3233539516828197</v>
          </cell>
          <cell r="P161">
            <v>0.89964253546292328</v>
          </cell>
          <cell r="T161">
            <v>1</v>
          </cell>
        </row>
        <row r="162">
          <cell r="J162">
            <v>5.3233539516828197</v>
          </cell>
          <cell r="P162">
            <v>0.85192364954590738</v>
          </cell>
          <cell r="T162">
            <v>0.90520502092050215</v>
          </cell>
        </row>
        <row r="163">
          <cell r="J163">
            <v>5.3233539516828197</v>
          </cell>
          <cell r="P163">
            <v>0.91608526331923934</v>
          </cell>
          <cell r="T163">
            <v>0.84180544747081709</v>
          </cell>
        </row>
        <row r="164">
          <cell r="J164">
            <v>5.3233539516828197</v>
          </cell>
          <cell r="P164">
            <v>0.8840044564325733</v>
          </cell>
          <cell r="T164">
            <v>0.87235483870967734</v>
          </cell>
        </row>
        <row r="165">
          <cell r="J165">
            <v>5.992961985847959</v>
          </cell>
          <cell r="P165">
            <v>0.6647253025790878</v>
          </cell>
          <cell r="T165">
            <v>1</v>
          </cell>
        </row>
        <row r="166">
          <cell r="J166">
            <v>5.992961985847959</v>
          </cell>
          <cell r="P166">
            <v>0.5974911323743175</v>
          </cell>
          <cell r="T166">
            <v>1.1919946236559138</v>
          </cell>
        </row>
        <row r="167">
          <cell r="J167">
            <v>5.992961985847959</v>
          </cell>
          <cell r="P167">
            <v>0.70670994151800992</v>
          </cell>
          <cell r="T167">
            <v>1.0077772727272727</v>
          </cell>
        </row>
        <row r="168">
          <cell r="J168">
            <v>5.992961985847959</v>
          </cell>
          <cell r="P168">
            <v>0.70349762360201895</v>
          </cell>
          <cell r="T168">
            <v>1.0123789954337901</v>
          </cell>
        </row>
        <row r="169">
          <cell r="J169">
            <v>6.5450445348388042</v>
          </cell>
          <cell r="P169">
            <v>0.70510841627271204</v>
          </cell>
          <cell r="T169">
            <v>1</v>
          </cell>
        </row>
        <row r="170">
          <cell r="J170">
            <v>6.5450445348388042</v>
          </cell>
          <cell r="P170">
            <v>0.79604831323536152</v>
          </cell>
          <cell r="T170">
            <v>0.83838432835820886</v>
          </cell>
        </row>
        <row r="171">
          <cell r="J171">
            <v>6.5450445348388042</v>
          </cell>
          <cell r="P171">
            <v>0.70099776837143779</v>
          </cell>
          <cell r="T171">
            <v>0.95206355932203379</v>
          </cell>
        </row>
        <row r="172">
          <cell r="J172">
            <v>6.5450445348388042</v>
          </cell>
          <cell r="P172">
            <v>0.80495930181635444</v>
          </cell>
          <cell r="T172">
            <v>0.82910332103321027</v>
          </cell>
        </row>
        <row r="173">
          <cell r="J173">
            <v>4.8051407634906749</v>
          </cell>
          <cell r="P173">
            <v>0.78374111808995961</v>
          </cell>
          <cell r="T173">
            <v>1</v>
          </cell>
        </row>
        <row r="174">
          <cell r="J174">
            <v>4.8051407634906749</v>
          </cell>
          <cell r="P174">
            <v>0.78290492790777477</v>
          </cell>
          <cell r="T174">
            <v>1.0452786069651741</v>
          </cell>
        </row>
        <row r="175">
          <cell r="J175">
            <v>4.8051407634906749</v>
          </cell>
          <cell r="P175">
            <v>0.83354057001126269</v>
          </cell>
          <cell r="T175">
            <v>0.98178037383177585</v>
          </cell>
        </row>
        <row r="176">
          <cell r="J176">
            <v>4.8051407634906749</v>
          </cell>
          <cell r="P176">
            <v>0.76732473033747084</v>
          </cell>
          <cell r="T176">
            <v>1.066502538071066</v>
          </cell>
        </row>
        <row r="177">
          <cell r="J177">
            <v>5.909305861472367</v>
          </cell>
          <cell r="P177">
            <v>0.89516366936696989</v>
          </cell>
          <cell r="T177">
            <v>1</v>
          </cell>
        </row>
        <row r="178">
          <cell r="J178">
            <v>5.909305861472367</v>
          </cell>
          <cell r="P178">
            <v>0.92044871396538097</v>
          </cell>
          <cell r="T178">
            <v>0.78151236749116615</v>
          </cell>
        </row>
        <row r="179">
          <cell r="J179">
            <v>5.909305861472367</v>
          </cell>
          <cell r="P179">
            <v>0.81636970743926007</v>
          </cell>
          <cell r="T179">
            <v>0.8811474103585657</v>
          </cell>
        </row>
        <row r="180">
          <cell r="J180">
            <v>5.909305861472367</v>
          </cell>
          <cell r="P180">
            <v>0.87166167965626185</v>
          </cell>
          <cell r="T180">
            <v>0.82525373134328361</v>
          </cell>
        </row>
        <row r="181">
          <cell r="J181">
            <v>6.762382906607149</v>
          </cell>
          <cell r="P181">
            <v>0.85627747946935062</v>
          </cell>
          <cell r="T181">
            <v>1</v>
          </cell>
        </row>
        <row r="182">
          <cell r="J182">
            <v>6.762382906607149</v>
          </cell>
          <cell r="P182">
            <v>0.83081644805170951</v>
          </cell>
          <cell r="T182">
            <v>0.78356250000000005</v>
          </cell>
        </row>
        <row r="183">
          <cell r="J183">
            <v>6.762382906607149</v>
          </cell>
          <cell r="P183">
            <v>0.82793166871819668</v>
          </cell>
          <cell r="T183">
            <v>0.7862926829268293</v>
          </cell>
        </row>
        <row r="184">
          <cell r="J184">
            <v>6.762382906607149</v>
          </cell>
          <cell r="P184">
            <v>0.78465997871550341</v>
          </cell>
          <cell r="T184">
            <v>0.82965441176470589</v>
          </cell>
        </row>
        <row r="185">
          <cell r="J185">
            <v>7.1807832082052414</v>
          </cell>
          <cell r="P185">
            <v>0.53961104514966418</v>
          </cell>
          <cell r="T185">
            <v>1</v>
          </cell>
        </row>
        <row r="186">
          <cell r="J186">
            <v>7.1807832082052414</v>
          </cell>
          <cell r="P186">
            <v>0.55757931850195042</v>
          </cell>
          <cell r="T186">
            <v>1.1149362745098041</v>
          </cell>
        </row>
        <row r="187">
          <cell r="J187">
            <v>7.1807832082052414</v>
          </cell>
          <cell r="P187">
            <v>0.60951072561732822</v>
          </cell>
          <cell r="T187">
            <v>1.0199417040358745</v>
          </cell>
        </row>
        <row r="188">
          <cell r="J188">
            <v>7.1807832082052414</v>
          </cell>
          <cell r="P188">
            <v>0.60131102975700546</v>
          </cell>
          <cell r="T188">
            <v>1.0338500000000002</v>
          </cell>
        </row>
        <row r="189">
          <cell r="J189">
            <v>4.7871888054701621</v>
          </cell>
          <cell r="P189">
            <v>0.54340044855661396</v>
          </cell>
          <cell r="T189">
            <v>1</v>
          </cell>
        </row>
        <row r="190">
          <cell r="J190">
            <v>4.7871888054701621</v>
          </cell>
          <cell r="P190">
            <v>0.6023361677961897</v>
          </cell>
          <cell r="T190">
            <v>1.3494790996784565</v>
          </cell>
        </row>
        <row r="191">
          <cell r="J191">
            <v>4.7871888054701621</v>
          </cell>
          <cell r="P191">
            <v>0.68058176644238288</v>
          </cell>
          <cell r="T191">
            <v>1.1943312464428002</v>
          </cell>
        </row>
        <row r="192">
          <cell r="J192">
            <v>4.7871888054701621</v>
          </cell>
          <cell r="P192">
            <v>0.72396546470165823</v>
          </cell>
          <cell r="T192">
            <v>1.122760834670947</v>
          </cell>
        </row>
        <row r="193">
          <cell r="J193">
            <v>7.1807832082052414</v>
          </cell>
          <cell r="P193">
            <v>0.5408236542398881</v>
          </cell>
          <cell r="T193">
            <v>1</v>
          </cell>
        </row>
        <row r="194">
          <cell r="J194">
            <v>7.1807832082052414</v>
          </cell>
          <cell r="P194">
            <v>0.55417129146852739</v>
          </cell>
          <cell r="T194">
            <v>1.1149362745098041</v>
          </cell>
        </row>
        <row r="195">
          <cell r="J195">
            <v>7.1807832082052414</v>
          </cell>
          <cell r="P195">
            <v>0.60687189467680891</v>
          </cell>
          <cell r="T195">
            <v>1.0181154879140555</v>
          </cell>
        </row>
        <row r="196">
          <cell r="J196">
            <v>7.1807832082052414</v>
          </cell>
          <cell r="P196">
            <v>0.59763570648566677</v>
          </cell>
          <cell r="T196">
            <v>1.0338500000000002</v>
          </cell>
        </row>
        <row r="197">
          <cell r="J197">
            <v>4.3687885038720689</v>
          </cell>
          <cell r="P197">
            <v>1.0483766953612841</v>
          </cell>
          <cell r="T197">
            <v>1</v>
          </cell>
        </row>
        <row r="198">
          <cell r="J198">
            <v>4.3687885038720689</v>
          </cell>
          <cell r="P198">
            <v>0.97346116402063643</v>
          </cell>
          <cell r="T198">
            <v>0.87255803955288047</v>
          </cell>
        </row>
        <row r="199">
          <cell r="J199">
            <v>4.3687885038720689</v>
          </cell>
          <cell r="P199">
            <v>0.945839308119793</v>
          </cell>
          <cell r="T199">
            <v>0.89803982300884955</v>
          </cell>
        </row>
        <row r="200">
          <cell r="J200">
            <v>4.8051407634906749</v>
          </cell>
          <cell r="P200">
            <v>0.78419414763798845</v>
          </cell>
          <cell r="T200">
            <v>1</v>
          </cell>
        </row>
        <row r="201">
          <cell r="J201">
            <v>4.8051407634906749</v>
          </cell>
          <cell r="P201">
            <v>0.77687550871009603</v>
          </cell>
          <cell r="T201">
            <v>1.0442395626242544</v>
          </cell>
        </row>
        <row r="202">
          <cell r="J202">
            <v>4.8051407634906749</v>
          </cell>
          <cell r="P202">
            <v>0.8266851213460813</v>
          </cell>
          <cell r="T202">
            <v>0.98132181223727233</v>
          </cell>
        </row>
        <row r="203">
          <cell r="J203">
            <v>4.8051407634906749</v>
          </cell>
          <cell r="P203">
            <v>0.76104454655447284</v>
          </cell>
          <cell r="T203">
            <v>1.0659614408929479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72F0-5DDF-4842-98C7-DBCEEB4F2922}">
  <dimension ref="A1:AE268"/>
  <sheetViews>
    <sheetView tabSelected="1" topLeftCell="R1" zoomScale="85" zoomScaleNormal="85" workbookViewId="0">
      <pane ySplit="1" topLeftCell="A2" activePane="bottomLeft" state="frozen"/>
      <selection activeCell="AD237" sqref="AD237"/>
      <selection pane="bottomLeft" activeCell="AJ12" sqref="AJ12"/>
    </sheetView>
  </sheetViews>
  <sheetFormatPr defaultRowHeight="14.4" x14ac:dyDescent="0.3"/>
  <cols>
    <col min="1" max="1" width="35.44140625" style="3" customWidth="1"/>
    <col min="2" max="2" width="5.88671875" style="3" customWidth="1"/>
    <col min="3" max="3" width="13.33203125" style="3" customWidth="1"/>
    <col min="4" max="4" width="5.6640625" style="3" customWidth="1"/>
    <col min="5" max="6" width="4.33203125" style="3" customWidth="1"/>
    <col min="7" max="7" width="5.6640625" style="3" customWidth="1"/>
    <col min="8" max="8" width="5.33203125" style="3" customWidth="1"/>
    <col min="9" max="9" width="4.5546875" style="3" customWidth="1"/>
    <col min="10" max="10" width="5.21875" style="3" customWidth="1"/>
    <col min="11" max="11" width="6" style="5" customWidth="1"/>
    <col min="12" max="12" width="5.33203125" style="3" customWidth="1"/>
    <col min="13" max="13" width="8.88671875" style="5"/>
    <col min="14" max="14" width="8.109375" style="3" customWidth="1"/>
    <col min="15" max="15" width="5" style="3" customWidth="1"/>
    <col min="16" max="16" width="9" style="3" customWidth="1"/>
    <col min="17" max="17" width="10.77734375" style="3" customWidth="1"/>
    <col min="18" max="18" width="10.5546875" style="3" customWidth="1"/>
    <col min="19" max="19" width="5.77734375" style="3" customWidth="1"/>
    <col min="20" max="20" width="5.33203125" style="3" customWidth="1"/>
    <col min="21" max="21" width="8.88671875" style="3" customWidth="1"/>
    <col min="22" max="22" width="7.21875" style="5" customWidth="1"/>
    <col min="23" max="23" width="7.33203125" style="3" customWidth="1"/>
    <col min="24" max="24" width="8.44140625" style="3" customWidth="1"/>
    <col min="25" max="25" width="9.109375" style="6" customWidth="1"/>
    <col min="26" max="26" width="7" style="6" customWidth="1"/>
    <col min="27" max="27" width="8.33203125" style="5" customWidth="1"/>
    <col min="28" max="28" width="5.6640625" style="3" customWidth="1"/>
    <col min="29" max="29" width="5.109375" style="3" customWidth="1"/>
    <col min="30" max="30" width="5.6640625" style="3" customWidth="1"/>
    <col min="31" max="31" width="6.5546875" style="3" customWidth="1"/>
    <col min="32" max="16384" width="8.88671875" style="3"/>
  </cols>
  <sheetData>
    <row r="1" spans="1:31" s="7" customFormat="1" x14ac:dyDescent="0.3">
      <c r="A1" s="7" t="s">
        <v>65</v>
      </c>
      <c r="B1" s="7" t="s">
        <v>172</v>
      </c>
      <c r="C1" s="7" t="s">
        <v>0</v>
      </c>
      <c r="D1" s="8" t="s">
        <v>66</v>
      </c>
      <c r="E1" s="8" t="s">
        <v>69</v>
      </c>
      <c r="F1" s="8" t="s">
        <v>173</v>
      </c>
      <c r="G1" s="8" t="s">
        <v>70</v>
      </c>
      <c r="H1" s="8" t="s">
        <v>71</v>
      </c>
      <c r="I1" s="8" t="s">
        <v>72</v>
      </c>
      <c r="J1" s="8" t="s">
        <v>304</v>
      </c>
      <c r="K1" s="9" t="s">
        <v>79</v>
      </c>
      <c r="L1" s="7" t="s">
        <v>80</v>
      </c>
      <c r="M1" s="10" t="s">
        <v>174</v>
      </c>
      <c r="N1" s="8" t="s">
        <v>303</v>
      </c>
      <c r="O1" s="8" t="s">
        <v>81</v>
      </c>
      <c r="P1" s="8" t="s">
        <v>240</v>
      </c>
      <c r="Q1" s="8" t="s">
        <v>305</v>
      </c>
      <c r="R1" s="8" t="s">
        <v>73</v>
      </c>
      <c r="S1" s="10" t="s">
        <v>241</v>
      </c>
      <c r="T1" s="7" t="s">
        <v>242</v>
      </c>
      <c r="U1" s="8" t="s">
        <v>74</v>
      </c>
      <c r="V1" s="9" t="s">
        <v>67</v>
      </c>
      <c r="W1" s="8" t="s">
        <v>68</v>
      </c>
      <c r="X1" s="11" t="s">
        <v>175</v>
      </c>
      <c r="Y1" s="12" t="s">
        <v>75</v>
      </c>
      <c r="Z1" s="12" t="s">
        <v>82</v>
      </c>
      <c r="AA1" s="13" t="s">
        <v>179</v>
      </c>
      <c r="AB1" s="8" t="s">
        <v>306</v>
      </c>
      <c r="AC1" s="8" t="s">
        <v>78</v>
      </c>
      <c r="AD1" s="8" t="s">
        <v>77</v>
      </c>
      <c r="AE1" s="8" t="s">
        <v>76</v>
      </c>
    </row>
    <row r="2" spans="1:31" s="1" customFormat="1" x14ac:dyDescent="0.3">
      <c r="A2" s="2" t="s">
        <v>239</v>
      </c>
      <c r="B2" s="2" t="s">
        <v>98</v>
      </c>
      <c r="C2" s="2" t="s">
        <v>54</v>
      </c>
      <c r="D2" s="2">
        <v>40</v>
      </c>
      <c r="E2" s="2">
        <v>333.5</v>
      </c>
      <c r="F2" s="2">
        <v>400</v>
      </c>
      <c r="G2" s="2">
        <f t="shared" ref="G2:G13" si="0">IF(B2="T","",0)</f>
        <v>0</v>
      </c>
      <c r="H2" s="2">
        <v>150</v>
      </c>
      <c r="I2" s="2">
        <f t="shared" ref="I2:I13" si="1">IF(G2=0,H2,"")</f>
        <v>150</v>
      </c>
      <c r="J2" s="2">
        <f t="shared" ref="J2:J13" si="2">550/E2</f>
        <v>1.6491754122938531</v>
      </c>
      <c r="K2" s="2" t="s">
        <v>210</v>
      </c>
      <c r="L2" s="2" t="s">
        <v>210</v>
      </c>
      <c r="M2" s="2" t="s">
        <v>210</v>
      </c>
      <c r="N2" s="2">
        <v>0</v>
      </c>
      <c r="O2" s="2" t="s">
        <v>210</v>
      </c>
      <c r="P2" s="2" t="s">
        <v>210</v>
      </c>
      <c r="Q2" s="2">
        <v>5</v>
      </c>
      <c r="R2" s="2">
        <f t="shared" ref="R2:R13" si="3">4*16^2/4*PI()</f>
        <v>804.24771931898704</v>
      </c>
      <c r="S2" s="2">
        <f>R2/E2/H2*100</f>
        <v>1.6076915928415532</v>
      </c>
      <c r="T2" s="2">
        <v>595</v>
      </c>
      <c r="U2" s="2">
        <v>852</v>
      </c>
      <c r="V2" s="2">
        <v>62.91</v>
      </c>
      <c r="W2" s="2">
        <f t="shared" ref="W2:W8" si="4">3.18*2*25*2</f>
        <v>318</v>
      </c>
      <c r="X2" s="2">
        <f>W2/Z2/H2*100</f>
        <v>1.06</v>
      </c>
      <c r="Y2" s="2">
        <f t="shared" ref="Y2:Y8" si="5">W2*V2*1000</f>
        <v>20005379.999999996</v>
      </c>
      <c r="Z2" s="2">
        <v>200</v>
      </c>
      <c r="AA2" s="2" t="s">
        <v>245</v>
      </c>
      <c r="AB2" s="2">
        <f>Z2/E2</f>
        <v>0.59970014992503751</v>
      </c>
      <c r="AC2" s="2">
        <f t="shared" ref="AC2:AC8" si="6">25/3.18</f>
        <v>7.8616352201257858</v>
      </c>
      <c r="AD2" s="2">
        <v>90</v>
      </c>
      <c r="AE2" s="2">
        <f>311*135/190</f>
        <v>220.97368421052633</v>
      </c>
    </row>
    <row r="3" spans="1:31" s="1" customFormat="1" x14ac:dyDescent="0.3">
      <c r="A3" s="2" t="s">
        <v>239</v>
      </c>
      <c r="B3" s="2" t="s">
        <v>98</v>
      </c>
      <c r="C3" s="2" t="s">
        <v>57</v>
      </c>
      <c r="D3" s="2">
        <v>40</v>
      </c>
      <c r="E3" s="2">
        <v>333.5</v>
      </c>
      <c r="F3" s="2">
        <v>400</v>
      </c>
      <c r="G3" s="2">
        <f t="shared" si="0"/>
        <v>0</v>
      </c>
      <c r="H3" s="2">
        <v>150</v>
      </c>
      <c r="I3" s="2">
        <f t="shared" si="1"/>
        <v>150</v>
      </c>
      <c r="J3" s="2">
        <f t="shared" si="2"/>
        <v>1.6491754122938531</v>
      </c>
      <c r="K3" s="2" t="s">
        <v>210</v>
      </c>
      <c r="L3" s="2" t="s">
        <v>210</v>
      </c>
      <c r="M3" s="2" t="s">
        <v>210</v>
      </c>
      <c r="N3" s="2">
        <v>0</v>
      </c>
      <c r="O3" s="2" t="s">
        <v>210</v>
      </c>
      <c r="P3" s="2" t="s">
        <v>210</v>
      </c>
      <c r="Q3" s="2">
        <v>5</v>
      </c>
      <c r="R3" s="2">
        <f t="shared" si="3"/>
        <v>804.24771931898704</v>
      </c>
      <c r="S3" s="2">
        <f>R3/E3/H3*100</f>
        <v>1.6076915928415532</v>
      </c>
      <c r="T3" s="2">
        <v>595</v>
      </c>
      <c r="U3" s="2">
        <v>852</v>
      </c>
      <c r="V3" s="2">
        <v>62.91</v>
      </c>
      <c r="W3" s="2">
        <f t="shared" si="4"/>
        <v>318</v>
      </c>
      <c r="X3" s="2">
        <f>W3/Z3/H3*100</f>
        <v>1.5703703703703706</v>
      </c>
      <c r="Y3" s="2">
        <f t="shared" si="5"/>
        <v>20005379.999999996</v>
      </c>
      <c r="Z3" s="2">
        <v>135</v>
      </c>
      <c r="AA3" s="2" t="s">
        <v>245</v>
      </c>
      <c r="AB3" s="2">
        <f>Z3/E3</f>
        <v>0.40479760119940028</v>
      </c>
      <c r="AC3" s="2">
        <f t="shared" si="6"/>
        <v>7.8616352201257858</v>
      </c>
      <c r="AD3" s="2">
        <v>90</v>
      </c>
      <c r="AE3" s="2">
        <f>337*135/190</f>
        <v>239.44736842105263</v>
      </c>
    </row>
    <row r="4" spans="1:31" s="1" customFormat="1" x14ac:dyDescent="0.3">
      <c r="A4" s="2" t="s">
        <v>239</v>
      </c>
      <c r="B4" s="2" t="s">
        <v>98</v>
      </c>
      <c r="C4" s="2" t="s">
        <v>60</v>
      </c>
      <c r="D4" s="2">
        <v>40</v>
      </c>
      <c r="E4" s="2">
        <v>333.5</v>
      </c>
      <c r="F4" s="2">
        <v>400</v>
      </c>
      <c r="G4" s="2">
        <f t="shared" si="0"/>
        <v>0</v>
      </c>
      <c r="H4" s="2">
        <v>150</v>
      </c>
      <c r="I4" s="2">
        <f t="shared" si="1"/>
        <v>150</v>
      </c>
      <c r="J4" s="2">
        <f t="shared" si="2"/>
        <v>1.6491754122938531</v>
      </c>
      <c r="K4" s="2" t="s">
        <v>210</v>
      </c>
      <c r="L4" s="2" t="s">
        <v>210</v>
      </c>
      <c r="M4" s="2" t="s">
        <v>210</v>
      </c>
      <c r="N4" s="2">
        <v>0</v>
      </c>
      <c r="O4" s="2" t="s">
        <v>210</v>
      </c>
      <c r="P4" s="2" t="s">
        <v>210</v>
      </c>
      <c r="Q4" s="2">
        <v>5</v>
      </c>
      <c r="R4" s="2">
        <f t="shared" si="3"/>
        <v>804.24771931898704</v>
      </c>
      <c r="S4" s="2">
        <f>R4/E4/H4*100</f>
        <v>1.6076915928415532</v>
      </c>
      <c r="T4" s="2">
        <v>595</v>
      </c>
      <c r="U4" s="2">
        <v>852</v>
      </c>
      <c r="V4" s="2">
        <v>62.91</v>
      </c>
      <c r="W4" s="2">
        <f t="shared" si="4"/>
        <v>318</v>
      </c>
      <c r="X4" s="2">
        <f>W4/Z4/H4*100</f>
        <v>2.12</v>
      </c>
      <c r="Y4" s="2">
        <f t="shared" si="5"/>
        <v>20005379.999999996</v>
      </c>
      <c r="Z4" s="2">
        <v>100</v>
      </c>
      <c r="AA4" s="2" t="s">
        <v>245</v>
      </c>
      <c r="AB4" s="2">
        <f>Z4/E4</f>
        <v>0.29985007496251875</v>
      </c>
      <c r="AC4" s="2">
        <f t="shared" si="6"/>
        <v>7.8616352201257858</v>
      </c>
      <c r="AD4" s="2">
        <v>90</v>
      </c>
      <c r="AE4" s="2">
        <f>349*135/190</f>
        <v>247.97368421052633</v>
      </c>
    </row>
    <row r="5" spans="1:31" s="1" customFormat="1" x14ac:dyDescent="0.3">
      <c r="A5" s="2" t="s">
        <v>239</v>
      </c>
      <c r="B5" s="2" t="s">
        <v>98</v>
      </c>
      <c r="C5" s="2" t="s">
        <v>55</v>
      </c>
      <c r="D5" s="2">
        <v>40</v>
      </c>
      <c r="E5" s="2">
        <v>333.5</v>
      </c>
      <c r="F5" s="2">
        <v>400</v>
      </c>
      <c r="G5" s="2">
        <f t="shared" si="0"/>
        <v>0</v>
      </c>
      <c r="H5" s="2">
        <v>150</v>
      </c>
      <c r="I5" s="2">
        <f t="shared" si="1"/>
        <v>150</v>
      </c>
      <c r="J5" s="2">
        <f t="shared" si="2"/>
        <v>1.6491754122938531</v>
      </c>
      <c r="K5" s="2">
        <v>234</v>
      </c>
      <c r="L5" s="2">
        <f>2*PI()*6^2/4</f>
        <v>56.548667764616276</v>
      </c>
      <c r="M5" s="2">
        <f>L5/O5/H5*100</f>
        <v>0.18849555921538758</v>
      </c>
      <c r="N5" s="2">
        <f>K5*L5</f>
        <v>13232.388256920209</v>
      </c>
      <c r="O5" s="2">
        <v>200</v>
      </c>
      <c r="P5" s="2">
        <f>IF(O5="-","-",O5/E5)</f>
        <v>0.59970014992503751</v>
      </c>
      <c r="Q5" s="2">
        <v>0.59970014992503751</v>
      </c>
      <c r="R5" s="2">
        <f t="shared" si="3"/>
        <v>804.24771931898704</v>
      </c>
      <c r="S5" s="2">
        <f>R5/E5/H5*100</f>
        <v>1.6076915928415532</v>
      </c>
      <c r="T5" s="2">
        <v>595</v>
      </c>
      <c r="U5" s="2">
        <v>852</v>
      </c>
      <c r="V5" s="2">
        <v>62.91</v>
      </c>
      <c r="W5" s="2">
        <f t="shared" si="4"/>
        <v>318</v>
      </c>
      <c r="X5" s="2">
        <f>W5/Z5/H5*100</f>
        <v>1.06</v>
      </c>
      <c r="Y5" s="2">
        <f t="shared" si="5"/>
        <v>20005379.999999996</v>
      </c>
      <c r="Z5" s="2">
        <v>200</v>
      </c>
      <c r="AA5" s="2" t="s">
        <v>245</v>
      </c>
      <c r="AB5" s="2">
        <f>Z5/E5</f>
        <v>0.59970014992503751</v>
      </c>
      <c r="AC5" s="2">
        <f t="shared" si="6"/>
        <v>7.8616352201257858</v>
      </c>
      <c r="AD5" s="2">
        <v>90</v>
      </c>
      <c r="AE5" s="2">
        <f>331*135/190</f>
        <v>235.18421052631578</v>
      </c>
    </row>
    <row r="6" spans="1:31" s="1" customFormat="1" x14ac:dyDescent="0.3">
      <c r="A6" s="2" t="s">
        <v>239</v>
      </c>
      <c r="B6" s="2" t="s">
        <v>98</v>
      </c>
      <c r="C6" s="2" t="s">
        <v>56</v>
      </c>
      <c r="D6" s="2">
        <v>40</v>
      </c>
      <c r="E6" s="2">
        <v>333.5</v>
      </c>
      <c r="F6" s="2">
        <v>400</v>
      </c>
      <c r="G6" s="2">
        <f t="shared" si="0"/>
        <v>0</v>
      </c>
      <c r="H6" s="2">
        <v>150</v>
      </c>
      <c r="I6" s="2">
        <f t="shared" si="1"/>
        <v>150</v>
      </c>
      <c r="J6" s="2">
        <f t="shared" si="2"/>
        <v>1.6491754122938531</v>
      </c>
      <c r="K6" s="2">
        <v>234</v>
      </c>
      <c r="L6" s="2">
        <f>2*PI()*6^2/4</f>
        <v>56.548667764616276</v>
      </c>
      <c r="M6" s="2">
        <f>L6/O6/H6*100</f>
        <v>0.18849555921538758</v>
      </c>
      <c r="N6" s="2">
        <f>K6*L6</f>
        <v>13232.388256920209</v>
      </c>
      <c r="O6" s="2">
        <v>200</v>
      </c>
      <c r="P6" s="2">
        <f>IF(O6="-","-",O6/E6)</f>
        <v>0.59970014992503751</v>
      </c>
      <c r="Q6" s="2">
        <v>0.59970014992503751</v>
      </c>
      <c r="R6" s="2">
        <f t="shared" si="3"/>
        <v>804.24771931898704</v>
      </c>
      <c r="S6" s="2">
        <f>R6/E6/H6*100</f>
        <v>1.6076915928415532</v>
      </c>
      <c r="T6" s="2">
        <v>595</v>
      </c>
      <c r="U6" s="2">
        <v>852</v>
      </c>
      <c r="V6" s="2">
        <v>62.91</v>
      </c>
      <c r="W6" s="2">
        <f t="shared" si="4"/>
        <v>318</v>
      </c>
      <c r="X6" s="2">
        <f>W6/Z6/H6*100</f>
        <v>1.06</v>
      </c>
      <c r="Y6" s="2">
        <f t="shared" si="5"/>
        <v>20005379.999999996</v>
      </c>
      <c r="Z6" s="2">
        <v>200</v>
      </c>
      <c r="AA6" s="2" t="s">
        <v>245</v>
      </c>
      <c r="AB6" s="2">
        <f>Z6/E6</f>
        <v>0.59970014992503751</v>
      </c>
      <c r="AC6" s="2">
        <f t="shared" si="6"/>
        <v>7.8616352201257858</v>
      </c>
      <c r="AD6" s="2">
        <v>90</v>
      </c>
      <c r="AE6" s="2">
        <f>335*135/190</f>
        <v>238.02631578947367</v>
      </c>
    </row>
    <row r="7" spans="1:31" x14ac:dyDescent="0.3">
      <c r="A7" s="2" t="s">
        <v>239</v>
      </c>
      <c r="B7" s="2" t="s">
        <v>98</v>
      </c>
      <c r="C7" s="2" t="s">
        <v>58</v>
      </c>
      <c r="D7" s="2">
        <v>40</v>
      </c>
      <c r="E7" s="2">
        <v>333.5</v>
      </c>
      <c r="F7" s="2">
        <v>400</v>
      </c>
      <c r="G7" s="2">
        <f t="shared" si="0"/>
        <v>0</v>
      </c>
      <c r="H7" s="2">
        <v>150</v>
      </c>
      <c r="I7" s="2">
        <f t="shared" si="1"/>
        <v>150</v>
      </c>
      <c r="J7" s="2">
        <f t="shared" si="2"/>
        <v>1.6491754122938531</v>
      </c>
      <c r="K7" s="2">
        <v>234</v>
      </c>
      <c r="L7" s="2">
        <f>2*PI()*6^2/4</f>
        <v>56.548667764616276</v>
      </c>
      <c r="M7" s="2">
        <f>L7/O7/H7*100</f>
        <v>0.27925268031909267</v>
      </c>
      <c r="N7" s="2">
        <f>K7*L7</f>
        <v>13232.388256920209</v>
      </c>
      <c r="O7" s="2">
        <v>135</v>
      </c>
      <c r="P7" s="2">
        <f>IF(O7="-","-",O7/E7)</f>
        <v>0.40479760119940028</v>
      </c>
      <c r="Q7" s="2">
        <v>0.40479760119940028</v>
      </c>
      <c r="R7" s="2">
        <f t="shared" si="3"/>
        <v>804.24771931898704</v>
      </c>
      <c r="S7" s="2">
        <f>R7/E7/H7*100</f>
        <v>1.6076915928415532</v>
      </c>
      <c r="T7" s="2">
        <v>595</v>
      </c>
      <c r="U7" s="2">
        <v>852</v>
      </c>
      <c r="V7" s="2">
        <v>62.91</v>
      </c>
      <c r="W7" s="2">
        <f t="shared" si="4"/>
        <v>318</v>
      </c>
      <c r="X7" s="2">
        <f>W7/Z7/H7*100</f>
        <v>1.5703703703703706</v>
      </c>
      <c r="Y7" s="2">
        <f t="shared" si="5"/>
        <v>20005379.999999996</v>
      </c>
      <c r="Z7" s="2">
        <v>135</v>
      </c>
      <c r="AA7" s="2" t="s">
        <v>245</v>
      </c>
      <c r="AB7" s="2">
        <f>Z7/E7</f>
        <v>0.40479760119940028</v>
      </c>
      <c r="AC7" s="2">
        <f t="shared" si="6"/>
        <v>7.8616352201257858</v>
      </c>
      <c r="AD7" s="2">
        <v>90</v>
      </c>
      <c r="AE7" s="2">
        <f>369*135/190</f>
        <v>262.18421052631578</v>
      </c>
    </row>
    <row r="8" spans="1:31" x14ac:dyDescent="0.3">
      <c r="A8" s="2" t="s">
        <v>239</v>
      </c>
      <c r="B8" s="2" t="s">
        <v>98</v>
      </c>
      <c r="C8" s="2" t="s">
        <v>59</v>
      </c>
      <c r="D8" s="2">
        <v>40</v>
      </c>
      <c r="E8" s="2">
        <v>333.5</v>
      </c>
      <c r="F8" s="2">
        <v>400</v>
      </c>
      <c r="G8" s="2">
        <f t="shared" si="0"/>
        <v>0</v>
      </c>
      <c r="H8" s="2">
        <v>150</v>
      </c>
      <c r="I8" s="2">
        <f t="shared" si="1"/>
        <v>150</v>
      </c>
      <c r="J8" s="2">
        <f t="shared" si="2"/>
        <v>1.6491754122938531</v>
      </c>
      <c r="K8" s="2">
        <v>234</v>
      </c>
      <c r="L8" s="2">
        <f>2*PI()*6^2/4</f>
        <v>56.548667764616276</v>
      </c>
      <c r="M8" s="2">
        <f>L8/O8/H8*100</f>
        <v>0.27925268031909267</v>
      </c>
      <c r="N8" s="2">
        <f>K8*L8</f>
        <v>13232.388256920209</v>
      </c>
      <c r="O8" s="2">
        <v>135</v>
      </c>
      <c r="P8" s="2">
        <f>IF(O8="-","-",O8/E8)</f>
        <v>0.40479760119940028</v>
      </c>
      <c r="Q8" s="2">
        <v>0.40479760119940028</v>
      </c>
      <c r="R8" s="2">
        <f t="shared" si="3"/>
        <v>804.24771931898704</v>
      </c>
      <c r="S8" s="2">
        <f>R8/E8/H8*100</f>
        <v>1.6076915928415532</v>
      </c>
      <c r="T8" s="2">
        <v>595</v>
      </c>
      <c r="U8" s="2">
        <v>852</v>
      </c>
      <c r="V8" s="2">
        <v>62.91</v>
      </c>
      <c r="W8" s="2">
        <f t="shared" si="4"/>
        <v>318</v>
      </c>
      <c r="X8" s="2">
        <f>W8/Z8/H8*100</f>
        <v>1.5703703703703706</v>
      </c>
      <c r="Y8" s="2">
        <f t="shared" si="5"/>
        <v>20005379.999999996</v>
      </c>
      <c r="Z8" s="2">
        <v>135</v>
      </c>
      <c r="AA8" s="2" t="s">
        <v>245</v>
      </c>
      <c r="AB8" s="2">
        <f>Z8/E8</f>
        <v>0.40479760119940028</v>
      </c>
      <c r="AC8" s="2">
        <f t="shared" si="6"/>
        <v>7.8616352201257858</v>
      </c>
      <c r="AD8" s="2">
        <v>90</v>
      </c>
      <c r="AE8" s="2">
        <f>381*135/190</f>
        <v>270.71052631578948</v>
      </c>
    </row>
    <row r="9" spans="1:31" x14ac:dyDescent="0.3">
      <c r="A9" s="2" t="s">
        <v>239</v>
      </c>
      <c r="B9" s="2"/>
      <c r="C9" s="2" t="s">
        <v>51</v>
      </c>
      <c r="D9" s="2">
        <v>40</v>
      </c>
      <c r="E9" s="2">
        <v>333.5</v>
      </c>
      <c r="F9" s="2">
        <v>400</v>
      </c>
      <c r="G9" s="2">
        <f t="shared" si="0"/>
        <v>0</v>
      </c>
      <c r="H9" s="2">
        <v>150</v>
      </c>
      <c r="I9" s="2">
        <f t="shared" si="1"/>
        <v>150</v>
      </c>
      <c r="J9" s="2">
        <f t="shared" si="2"/>
        <v>1.6491754122938531</v>
      </c>
      <c r="K9" s="2" t="s">
        <v>210</v>
      </c>
      <c r="L9" s="2" t="s">
        <v>210</v>
      </c>
      <c r="M9" s="2" t="s">
        <v>210</v>
      </c>
      <c r="N9" s="2">
        <v>0</v>
      </c>
      <c r="O9" s="2" t="s">
        <v>210</v>
      </c>
      <c r="P9" s="2" t="s">
        <v>210</v>
      </c>
      <c r="Q9" s="2">
        <v>5</v>
      </c>
      <c r="R9" s="2">
        <f t="shared" si="3"/>
        <v>804.24771931898704</v>
      </c>
      <c r="S9" s="2">
        <f>R9/E9/H9*100</f>
        <v>1.6076915928415532</v>
      </c>
      <c r="T9" s="2">
        <v>595</v>
      </c>
      <c r="U9" s="2" t="s">
        <v>210</v>
      </c>
      <c r="V9" s="2" t="s">
        <v>210</v>
      </c>
      <c r="W9" s="2">
        <v>0</v>
      </c>
      <c r="X9" s="2">
        <v>0</v>
      </c>
      <c r="Y9" s="2">
        <v>0</v>
      </c>
      <c r="Z9" s="2" t="s">
        <v>210</v>
      </c>
      <c r="AA9" s="2" t="s">
        <v>210</v>
      </c>
      <c r="AB9" s="2">
        <v>5</v>
      </c>
      <c r="AC9" s="2">
        <v>1</v>
      </c>
      <c r="AD9" s="2">
        <v>90</v>
      </c>
      <c r="AE9" s="2">
        <f>224*135/190</f>
        <v>159.15789473684211</v>
      </c>
    </row>
    <row r="10" spans="1:31" x14ac:dyDescent="0.3">
      <c r="A10" s="2" t="s">
        <v>239</v>
      </c>
      <c r="B10" s="2"/>
      <c r="C10" s="2" t="s">
        <v>52</v>
      </c>
      <c r="D10" s="2">
        <v>40</v>
      </c>
      <c r="E10" s="2">
        <v>333.5</v>
      </c>
      <c r="F10" s="2">
        <v>400</v>
      </c>
      <c r="G10" s="2">
        <f t="shared" si="0"/>
        <v>0</v>
      </c>
      <c r="H10" s="2">
        <v>150</v>
      </c>
      <c r="I10" s="2">
        <f t="shared" si="1"/>
        <v>150</v>
      </c>
      <c r="J10" s="2">
        <f t="shared" si="2"/>
        <v>1.6491754122938531</v>
      </c>
      <c r="K10" s="2">
        <v>234</v>
      </c>
      <c r="L10" s="2">
        <f>2*PI()*6^2/4</f>
        <v>56.548667764616276</v>
      </c>
      <c r="M10" s="2">
        <f>L10/O10/H10*100</f>
        <v>0.18849555921538758</v>
      </c>
      <c r="N10" s="2">
        <f>K10*L10</f>
        <v>13232.388256920209</v>
      </c>
      <c r="O10" s="2">
        <v>200</v>
      </c>
      <c r="P10" s="2">
        <f>IF(O10="-","-",O10/E10)</f>
        <v>0.59970014992503751</v>
      </c>
      <c r="Q10" s="2">
        <v>0.59970014992503751</v>
      </c>
      <c r="R10" s="2">
        <f t="shared" si="3"/>
        <v>804.24771931898704</v>
      </c>
      <c r="S10" s="2">
        <f>R10/E10/H10*100</f>
        <v>1.6076915928415532</v>
      </c>
      <c r="T10" s="2">
        <v>595</v>
      </c>
      <c r="U10" s="2" t="s">
        <v>210</v>
      </c>
      <c r="V10" s="2" t="s">
        <v>210</v>
      </c>
      <c r="W10" s="2">
        <v>0</v>
      </c>
      <c r="X10" s="2">
        <v>0</v>
      </c>
      <c r="Y10" s="2">
        <v>0</v>
      </c>
      <c r="Z10" s="2" t="s">
        <v>210</v>
      </c>
      <c r="AA10" s="2" t="s">
        <v>210</v>
      </c>
      <c r="AB10" s="2">
        <v>5</v>
      </c>
      <c r="AC10" s="2">
        <v>1</v>
      </c>
      <c r="AD10" s="2">
        <v>90</v>
      </c>
      <c r="AE10" s="2">
        <f>257*135/190</f>
        <v>182.60526315789474</v>
      </c>
    </row>
    <row r="11" spans="1:31" x14ac:dyDescent="0.3">
      <c r="A11" s="2" t="s">
        <v>239</v>
      </c>
      <c r="B11" s="2"/>
      <c r="C11" s="2" t="s">
        <v>243</v>
      </c>
      <c r="D11" s="2">
        <v>40</v>
      </c>
      <c r="E11" s="2">
        <v>333.5</v>
      </c>
      <c r="F11" s="2">
        <v>400</v>
      </c>
      <c r="G11" s="2">
        <f t="shared" si="0"/>
        <v>0</v>
      </c>
      <c r="H11" s="2">
        <v>150</v>
      </c>
      <c r="I11" s="2">
        <f t="shared" si="1"/>
        <v>150</v>
      </c>
      <c r="J11" s="2">
        <f t="shared" si="2"/>
        <v>1.6491754122938531</v>
      </c>
      <c r="K11" s="2">
        <v>234</v>
      </c>
      <c r="L11" s="2">
        <f>2*PI()*6^2/4</f>
        <v>56.548667764616276</v>
      </c>
      <c r="M11" s="2">
        <f>L11/O11/H11*100</f>
        <v>0.18849555921538758</v>
      </c>
      <c r="N11" s="2">
        <f>K11*L11</f>
        <v>13232.388256920209</v>
      </c>
      <c r="O11" s="2">
        <v>200</v>
      </c>
      <c r="P11" s="2">
        <f>IF(O11="-","-",O11/E11)</f>
        <v>0.59970014992503751</v>
      </c>
      <c r="Q11" s="2">
        <v>0.59970014992503751</v>
      </c>
      <c r="R11" s="2">
        <f t="shared" si="3"/>
        <v>804.24771931898704</v>
      </c>
      <c r="S11" s="2">
        <f>R11/E11/H11*100</f>
        <v>1.6076915928415532</v>
      </c>
      <c r="T11" s="2">
        <v>595</v>
      </c>
      <c r="U11" s="2" t="s">
        <v>210</v>
      </c>
      <c r="V11" s="2" t="s">
        <v>210</v>
      </c>
      <c r="W11" s="2">
        <v>0</v>
      </c>
      <c r="X11" s="2">
        <v>0</v>
      </c>
      <c r="Y11" s="2">
        <v>0</v>
      </c>
      <c r="Z11" s="2" t="s">
        <v>210</v>
      </c>
      <c r="AA11" s="2" t="s">
        <v>210</v>
      </c>
      <c r="AB11" s="2">
        <v>5</v>
      </c>
      <c r="AC11" s="2">
        <v>1</v>
      </c>
      <c r="AD11" s="2">
        <v>90</v>
      </c>
      <c r="AE11" s="2">
        <f>252*135/190</f>
        <v>179.05263157894737</v>
      </c>
    </row>
    <row r="12" spans="1:31" x14ac:dyDescent="0.3">
      <c r="A12" s="2" t="s">
        <v>239</v>
      </c>
      <c r="B12" s="2"/>
      <c r="C12" s="2" t="s">
        <v>53</v>
      </c>
      <c r="D12" s="2">
        <v>40</v>
      </c>
      <c r="E12" s="2">
        <v>333.5</v>
      </c>
      <c r="F12" s="2">
        <v>400</v>
      </c>
      <c r="G12" s="2">
        <f t="shared" si="0"/>
        <v>0</v>
      </c>
      <c r="H12" s="2">
        <v>150</v>
      </c>
      <c r="I12" s="2">
        <f t="shared" si="1"/>
        <v>150</v>
      </c>
      <c r="J12" s="2">
        <f t="shared" si="2"/>
        <v>1.6491754122938531</v>
      </c>
      <c r="K12" s="2">
        <v>234</v>
      </c>
      <c r="L12" s="2">
        <f>2*PI()*6^2/4</f>
        <v>56.548667764616276</v>
      </c>
      <c r="M12" s="2">
        <f>L12/O12/H12*100</f>
        <v>0.27925268031909267</v>
      </c>
      <c r="N12" s="2">
        <f>K12*L12</f>
        <v>13232.388256920209</v>
      </c>
      <c r="O12" s="2">
        <v>135</v>
      </c>
      <c r="P12" s="2">
        <f>IF(O12="-","-",O12/E12)</f>
        <v>0.40479760119940028</v>
      </c>
      <c r="Q12" s="2">
        <v>0.40479760119940028</v>
      </c>
      <c r="R12" s="2">
        <f t="shared" si="3"/>
        <v>804.24771931898704</v>
      </c>
      <c r="S12" s="2">
        <f>R12/E12/H12*100</f>
        <v>1.6076915928415532</v>
      </c>
      <c r="T12" s="2">
        <v>595</v>
      </c>
      <c r="U12" s="2" t="s">
        <v>210</v>
      </c>
      <c r="V12" s="2" t="s">
        <v>210</v>
      </c>
      <c r="W12" s="2">
        <v>0</v>
      </c>
      <c r="X12" s="2">
        <v>0</v>
      </c>
      <c r="Y12" s="2">
        <v>0</v>
      </c>
      <c r="Z12" s="2" t="s">
        <v>210</v>
      </c>
      <c r="AA12" s="2" t="s">
        <v>210</v>
      </c>
      <c r="AB12" s="2">
        <v>5</v>
      </c>
      <c r="AC12" s="2">
        <v>1</v>
      </c>
      <c r="AD12" s="2">
        <v>90</v>
      </c>
      <c r="AE12" s="2">
        <f>267*135/190</f>
        <v>189.71052631578948</v>
      </c>
    </row>
    <row r="13" spans="1:31" x14ac:dyDescent="0.3">
      <c r="A13" s="2" t="s">
        <v>239</v>
      </c>
      <c r="B13" s="2"/>
      <c r="C13" s="2" t="s">
        <v>244</v>
      </c>
      <c r="D13" s="2">
        <v>40</v>
      </c>
      <c r="E13" s="2">
        <v>333.5</v>
      </c>
      <c r="F13" s="2">
        <v>400</v>
      </c>
      <c r="G13" s="2">
        <f t="shared" si="0"/>
        <v>0</v>
      </c>
      <c r="H13" s="2">
        <v>150</v>
      </c>
      <c r="I13" s="2">
        <f t="shared" si="1"/>
        <v>150</v>
      </c>
      <c r="J13" s="2">
        <f t="shared" si="2"/>
        <v>1.6491754122938531</v>
      </c>
      <c r="K13" s="2">
        <v>234</v>
      </c>
      <c r="L13" s="2">
        <f>2*PI()*6^2/4</f>
        <v>56.548667764616276</v>
      </c>
      <c r="M13" s="2">
        <f>L13/O13/H13*100</f>
        <v>0.27925268031909267</v>
      </c>
      <c r="N13" s="2">
        <f>K13*L13</f>
        <v>13232.388256920209</v>
      </c>
      <c r="O13" s="2">
        <v>135</v>
      </c>
      <c r="P13" s="2">
        <f>IF(O13="-","-",O13/E13)</f>
        <v>0.40479760119940028</v>
      </c>
      <c r="Q13" s="2">
        <v>0.40479760119940028</v>
      </c>
      <c r="R13" s="2">
        <f t="shared" si="3"/>
        <v>804.24771931898704</v>
      </c>
      <c r="S13" s="2">
        <f>R13/E13/H13*100</f>
        <v>1.6076915928415532</v>
      </c>
      <c r="T13" s="2">
        <v>595</v>
      </c>
      <c r="U13" s="2" t="s">
        <v>210</v>
      </c>
      <c r="V13" s="2" t="s">
        <v>210</v>
      </c>
      <c r="W13" s="2">
        <v>0</v>
      </c>
      <c r="X13" s="2">
        <v>0</v>
      </c>
      <c r="Y13" s="2">
        <v>0</v>
      </c>
      <c r="Z13" s="2" t="s">
        <v>210</v>
      </c>
      <c r="AA13" s="2" t="s">
        <v>210</v>
      </c>
      <c r="AB13" s="2">
        <v>5</v>
      </c>
      <c r="AC13" s="2">
        <v>1</v>
      </c>
      <c r="AD13" s="2">
        <v>90</v>
      </c>
      <c r="AE13" s="2">
        <f>263*135/190</f>
        <v>186.86842105263159</v>
      </c>
    </row>
    <row r="14" spans="1:31" x14ac:dyDescent="0.3">
      <c r="A14" s="2" t="s">
        <v>307</v>
      </c>
      <c r="B14" s="2">
        <f>17*0.8</f>
        <v>13.600000000000001</v>
      </c>
      <c r="C14" s="2" t="s">
        <v>41</v>
      </c>
      <c r="D14" s="2">
        <f>17*0.8</f>
        <v>13.600000000000001</v>
      </c>
      <c r="E14" s="2">
        <f>260-8-9</f>
        <v>243</v>
      </c>
      <c r="F14" s="2">
        <v>300</v>
      </c>
      <c r="G14" s="2">
        <v>0</v>
      </c>
      <c r="H14" s="2">
        <v>200</v>
      </c>
      <c r="I14" s="2">
        <v>200</v>
      </c>
      <c r="J14" s="2">
        <f t="shared" ref="J14:J21" si="7">880/E14</f>
        <v>3.6213991769547325</v>
      </c>
      <c r="K14" s="2">
        <v>280</v>
      </c>
      <c r="L14" s="2">
        <f t="shared" ref="L14:L29" si="8">2*PI()*8^2/4</f>
        <v>100.53096491487338</v>
      </c>
      <c r="M14" s="2">
        <f>L14/O14/H14*100</f>
        <v>0.14361566416410482</v>
      </c>
      <c r="N14" s="2">
        <f>L14*K14</f>
        <v>28148.670176164545</v>
      </c>
      <c r="O14" s="2">
        <v>350</v>
      </c>
      <c r="P14" s="2">
        <f>IF(O14="-","-",IF(N14=0,"-",O14/E14))</f>
        <v>1.440329218106996</v>
      </c>
      <c r="Q14" s="2">
        <v>5</v>
      </c>
      <c r="R14" s="2">
        <f>3*PI()*18^2/4</f>
        <v>763.40701482231975</v>
      </c>
      <c r="S14" s="2">
        <f>R14/E14/H14*100</f>
        <v>1.5707963267948968</v>
      </c>
      <c r="T14" s="2">
        <v>420</v>
      </c>
      <c r="U14" s="2" t="s">
        <v>210</v>
      </c>
      <c r="V14" s="2" t="s">
        <v>210</v>
      </c>
      <c r="W14" s="2" t="s">
        <v>210</v>
      </c>
      <c r="X14" s="2">
        <v>0</v>
      </c>
      <c r="Y14" s="2">
        <v>0</v>
      </c>
      <c r="Z14" s="2" t="s">
        <v>210</v>
      </c>
      <c r="AA14" s="2" t="s">
        <v>210</v>
      </c>
      <c r="AB14" s="2">
        <v>5</v>
      </c>
      <c r="AC14" s="2">
        <v>1</v>
      </c>
      <c r="AD14" s="2">
        <v>90</v>
      </c>
      <c r="AE14" s="2">
        <v>52.5</v>
      </c>
    </row>
    <row r="15" spans="1:31" x14ac:dyDescent="0.3">
      <c r="A15" s="2" t="s">
        <v>86</v>
      </c>
      <c r="B15" s="2" t="s">
        <v>98</v>
      </c>
      <c r="C15" s="2" t="s">
        <v>164</v>
      </c>
      <c r="D15" s="2">
        <f>17*0.8</f>
        <v>13.600000000000001</v>
      </c>
      <c r="E15" s="2">
        <f>260-8-9</f>
        <v>243</v>
      </c>
      <c r="F15" s="2">
        <v>300</v>
      </c>
      <c r="G15" s="2">
        <v>0</v>
      </c>
      <c r="H15" s="2">
        <v>200</v>
      </c>
      <c r="I15" s="2">
        <f>IF(G15=0,H15,"")</f>
        <v>200</v>
      </c>
      <c r="J15" s="2">
        <f t="shared" si="7"/>
        <v>3.6213991769547325</v>
      </c>
      <c r="K15" s="2">
        <v>280</v>
      </c>
      <c r="L15" s="2">
        <f t="shared" si="8"/>
        <v>100.53096491487338</v>
      </c>
      <c r="M15" s="2">
        <f>L15/O15/H15*100</f>
        <v>0.14361566416410482</v>
      </c>
      <c r="N15" s="2">
        <f>L15*K15</f>
        <v>28148.670176164545</v>
      </c>
      <c r="O15" s="2">
        <v>350</v>
      </c>
      <c r="P15" s="2">
        <f>IF(O15="-","-",O15/E15)</f>
        <v>1.440329218106996</v>
      </c>
      <c r="Q15" s="2">
        <f>IF(O15="-",0,O15/E15)</f>
        <v>1.440329218106996</v>
      </c>
      <c r="R15" s="2">
        <f>3*PI()*18^2/4</f>
        <v>763.40701482231975</v>
      </c>
      <c r="S15" s="2">
        <f>R15/E15/H15*100</f>
        <v>1.5707963267948968</v>
      </c>
      <c r="T15" s="2">
        <v>420</v>
      </c>
      <c r="U15" s="2">
        <v>3100</v>
      </c>
      <c r="V15" s="2">
        <v>165</v>
      </c>
      <c r="W15" s="2">
        <f>AA15*2</f>
        <v>37.5</v>
      </c>
      <c r="X15" s="2">
        <f>W15/Z15/H15*100</f>
        <v>0.11363636363636363</v>
      </c>
      <c r="Y15" s="2">
        <f>W15*V15*1000</f>
        <v>6187500</v>
      </c>
      <c r="Z15" s="2">
        <f>(120+210)/2</f>
        <v>165</v>
      </c>
      <c r="AA15" s="2">
        <f>15*2.5/2</f>
        <v>18.75</v>
      </c>
      <c r="AB15" s="2">
        <f>Z15/E15</f>
        <v>0.67901234567901236</v>
      </c>
      <c r="AC15" s="2">
        <v>6</v>
      </c>
      <c r="AD15" s="2">
        <v>90</v>
      </c>
      <c r="AE15" s="2">
        <v>79.5</v>
      </c>
    </row>
    <row r="16" spans="1:31" x14ac:dyDescent="0.3">
      <c r="A16" s="2" t="s">
        <v>307</v>
      </c>
      <c r="B16" s="2"/>
      <c r="C16" s="2" t="s">
        <v>42</v>
      </c>
      <c r="D16" s="2">
        <f>32*0.8</f>
        <v>25.6</v>
      </c>
      <c r="E16" s="2">
        <f>260-8-10</f>
        <v>242</v>
      </c>
      <c r="F16" s="2">
        <v>300</v>
      </c>
      <c r="G16" s="2">
        <v>0</v>
      </c>
      <c r="H16" s="2">
        <v>200</v>
      </c>
      <c r="I16" s="2">
        <v>200</v>
      </c>
      <c r="J16" s="2">
        <f t="shared" si="7"/>
        <v>3.6363636363636362</v>
      </c>
      <c r="K16" s="2">
        <v>280</v>
      </c>
      <c r="L16" s="2">
        <f t="shared" si="8"/>
        <v>100.53096491487338</v>
      </c>
      <c r="M16" s="2">
        <f>L16/O16/H16*100</f>
        <v>0.14361566416410482</v>
      </c>
      <c r="N16" s="2">
        <f>L16*K16</f>
        <v>28148.670176164545</v>
      </c>
      <c r="O16" s="2">
        <v>350</v>
      </c>
      <c r="P16" s="2">
        <f>IF(O16="-","-",IF(N16=0,"-",O16/E16))</f>
        <v>1.4462809917355373</v>
      </c>
      <c r="Q16" s="2">
        <v>5</v>
      </c>
      <c r="R16" s="2">
        <f>2*PI()*20^2/4+PI()*25^2/4</f>
        <v>1119.1923828413637</v>
      </c>
      <c r="S16" s="2">
        <f>R16/E16/H16*100</f>
        <v>2.3123809562838091</v>
      </c>
      <c r="T16" s="2">
        <v>420</v>
      </c>
      <c r="U16" s="2" t="s">
        <v>210</v>
      </c>
      <c r="V16" s="2" t="s">
        <v>210</v>
      </c>
      <c r="W16" s="2" t="s">
        <v>210</v>
      </c>
      <c r="X16" s="2">
        <v>0</v>
      </c>
      <c r="Y16" s="2">
        <v>0</v>
      </c>
      <c r="Z16" s="2" t="s">
        <v>210</v>
      </c>
      <c r="AA16" s="2" t="s">
        <v>210</v>
      </c>
      <c r="AB16" s="2">
        <v>5</v>
      </c>
      <c r="AC16" s="2">
        <v>1</v>
      </c>
      <c r="AD16" s="2">
        <v>90</v>
      </c>
      <c r="AE16" s="2">
        <v>70.5</v>
      </c>
    </row>
    <row r="17" spans="1:31" x14ac:dyDescent="0.3">
      <c r="A17" s="2" t="s">
        <v>86</v>
      </c>
      <c r="B17" s="2" t="s">
        <v>98</v>
      </c>
      <c r="C17" s="2" t="s">
        <v>165</v>
      </c>
      <c r="D17" s="2">
        <f>32*0.8</f>
        <v>25.6</v>
      </c>
      <c r="E17" s="2">
        <f>260-8-10</f>
        <v>242</v>
      </c>
      <c r="F17" s="2">
        <v>300</v>
      </c>
      <c r="G17" s="2">
        <v>0</v>
      </c>
      <c r="H17" s="2">
        <v>200</v>
      </c>
      <c r="I17" s="2">
        <f>IF(G17=0,H17,"")</f>
        <v>200</v>
      </c>
      <c r="J17" s="2">
        <f t="shared" si="7"/>
        <v>3.6363636363636362</v>
      </c>
      <c r="K17" s="2">
        <v>280</v>
      </c>
      <c r="L17" s="2">
        <f t="shared" si="8"/>
        <v>100.53096491487338</v>
      </c>
      <c r="M17" s="2">
        <f>L17/O17/H17*100</f>
        <v>0.14361566416410482</v>
      </c>
      <c r="N17" s="2">
        <f>L17*K17</f>
        <v>28148.670176164545</v>
      </c>
      <c r="O17" s="2">
        <v>350</v>
      </c>
      <c r="P17" s="2">
        <f>IF(O17="-","-",O17/E17)</f>
        <v>1.4462809917355373</v>
      </c>
      <c r="Q17" s="2">
        <f>IF(O17="-",0,O17/E17)</f>
        <v>1.4462809917355373</v>
      </c>
      <c r="R17" s="2">
        <f>2*PI()*20^2/4+PI()*25^2/4</f>
        <v>1119.1923828413637</v>
      </c>
      <c r="S17" s="2">
        <f>R17/E17/H17*100</f>
        <v>2.3123809562838091</v>
      </c>
      <c r="T17" s="2">
        <v>420</v>
      </c>
      <c r="U17" s="2">
        <v>3100</v>
      </c>
      <c r="V17" s="2">
        <v>165</v>
      </c>
      <c r="W17" s="2">
        <f>AA17*2</f>
        <v>37.5</v>
      </c>
      <c r="X17" s="2">
        <f>W17/Z17/H17*100</f>
        <v>0.11363636363636363</v>
      </c>
      <c r="Y17" s="2">
        <f>W17*V17*1000</f>
        <v>6187500</v>
      </c>
      <c r="Z17" s="2">
        <f>(120+210)/2</f>
        <v>165</v>
      </c>
      <c r="AA17" s="2">
        <f>15*2.5/2</f>
        <v>18.75</v>
      </c>
      <c r="AB17" s="2">
        <f>Z17/E17</f>
        <v>0.68181818181818177</v>
      </c>
      <c r="AC17" s="2">
        <v>6</v>
      </c>
      <c r="AD17" s="2">
        <v>90</v>
      </c>
      <c r="AE17" s="2">
        <v>116.9</v>
      </c>
    </row>
    <row r="18" spans="1:31" x14ac:dyDescent="0.3">
      <c r="A18" s="2" t="s">
        <v>307</v>
      </c>
      <c r="B18" s="2"/>
      <c r="C18" s="2" t="s">
        <v>43</v>
      </c>
      <c r="D18" s="2">
        <f>47*0.8</f>
        <v>37.6</v>
      </c>
      <c r="E18" s="2">
        <f>260-8-12.5</f>
        <v>239.5</v>
      </c>
      <c r="F18" s="2">
        <v>300</v>
      </c>
      <c r="G18" s="2">
        <v>0</v>
      </c>
      <c r="H18" s="2">
        <v>200</v>
      </c>
      <c r="I18" s="2">
        <v>200</v>
      </c>
      <c r="J18" s="2">
        <f t="shared" si="7"/>
        <v>3.6743215031315239</v>
      </c>
      <c r="K18" s="2">
        <v>280</v>
      </c>
      <c r="L18" s="2">
        <f t="shared" si="8"/>
        <v>100.53096491487338</v>
      </c>
      <c r="M18" s="2">
        <f>L18/O18/H18*100</f>
        <v>0.14361566416410482</v>
      </c>
      <c r="N18" s="2">
        <f>L18*K18</f>
        <v>28148.670176164545</v>
      </c>
      <c r="O18" s="2">
        <v>350</v>
      </c>
      <c r="P18" s="2">
        <f>IF(O18="-","-",IF(N18=0,"-",O18/E18))</f>
        <v>1.4613778705636744</v>
      </c>
      <c r="Q18" s="2">
        <v>5</v>
      </c>
      <c r="R18" s="2">
        <f>2*PI()*25^2/4+PI()*25^2/4</f>
        <v>1472.6215563702156</v>
      </c>
      <c r="S18" s="2">
        <f>R18/E18/H18*100</f>
        <v>3.0743665059920993</v>
      </c>
      <c r="T18" s="2">
        <v>420</v>
      </c>
      <c r="U18" s="2" t="s">
        <v>210</v>
      </c>
      <c r="V18" s="2" t="s">
        <v>210</v>
      </c>
      <c r="W18" s="2" t="s">
        <v>210</v>
      </c>
      <c r="X18" s="2">
        <v>0</v>
      </c>
      <c r="Y18" s="2">
        <v>0</v>
      </c>
      <c r="Z18" s="2" t="s">
        <v>210</v>
      </c>
      <c r="AA18" s="2" t="s">
        <v>210</v>
      </c>
      <c r="AB18" s="2">
        <v>5</v>
      </c>
      <c r="AC18" s="2">
        <v>1</v>
      </c>
      <c r="AD18" s="2">
        <v>90</v>
      </c>
      <c r="AE18" s="2">
        <v>84.2</v>
      </c>
    </row>
    <row r="19" spans="1:31" x14ac:dyDescent="0.3">
      <c r="A19" s="2" t="s">
        <v>307</v>
      </c>
      <c r="B19" s="2"/>
      <c r="C19" s="2" t="s">
        <v>44</v>
      </c>
      <c r="D19" s="2">
        <f>47*0.8</f>
        <v>37.6</v>
      </c>
      <c r="E19" s="2">
        <f>260-8-12.5</f>
        <v>239.5</v>
      </c>
      <c r="F19" s="2">
        <v>300</v>
      </c>
      <c r="G19" s="2">
        <v>0</v>
      </c>
      <c r="H19" s="2">
        <v>200</v>
      </c>
      <c r="I19" s="2">
        <v>200</v>
      </c>
      <c r="J19" s="2">
        <f t="shared" si="7"/>
        <v>3.6743215031315239</v>
      </c>
      <c r="K19" s="2">
        <v>280</v>
      </c>
      <c r="L19" s="2">
        <f t="shared" si="8"/>
        <v>100.53096491487338</v>
      </c>
      <c r="M19" s="2">
        <f>L19/O19/H19*100</f>
        <v>0.14361566416410482</v>
      </c>
      <c r="N19" s="2">
        <f>L19*K19</f>
        <v>28148.670176164545</v>
      </c>
      <c r="O19" s="2">
        <v>350</v>
      </c>
      <c r="P19" s="2">
        <f>IF(O19="-","-",IF(N19=0,"-",O19/E19))</f>
        <v>1.4613778705636744</v>
      </c>
      <c r="Q19" s="2">
        <f>IF(O19="-",0,O19/E19)</f>
        <v>1.4613778705636744</v>
      </c>
      <c r="R19" s="2">
        <f>2*PI()*25^2/4+PI()*25^2/4</f>
        <v>1472.6215563702156</v>
      </c>
      <c r="S19" s="2">
        <f>R19/E19/H19*100</f>
        <v>3.0743665059920993</v>
      </c>
      <c r="T19" s="2">
        <v>420</v>
      </c>
      <c r="U19" s="2">
        <v>3100</v>
      </c>
      <c r="V19" s="2">
        <v>165</v>
      </c>
      <c r="W19" s="2">
        <f>AA19*2</f>
        <v>37.5</v>
      </c>
      <c r="X19" s="2">
        <f>W19/Z19/H19*100</f>
        <v>5.3571428571428562E-2</v>
      </c>
      <c r="Y19" s="2">
        <f>W19*V19*1000</f>
        <v>6187500</v>
      </c>
      <c r="Z19" s="2">
        <v>350</v>
      </c>
      <c r="AA19" s="2">
        <f>15*2.5/2</f>
        <v>18.75</v>
      </c>
      <c r="AB19" s="2">
        <v>1.27</v>
      </c>
      <c r="AC19" s="2">
        <v>6</v>
      </c>
      <c r="AD19" s="2">
        <v>90</v>
      </c>
      <c r="AE19" s="2">
        <v>101.4</v>
      </c>
    </row>
    <row r="20" spans="1:31" x14ac:dyDescent="0.3">
      <c r="A20" s="2" t="s">
        <v>307</v>
      </c>
      <c r="B20" s="2"/>
      <c r="C20" s="2" t="s">
        <v>45</v>
      </c>
      <c r="D20" s="2">
        <f>47*0.8</f>
        <v>37.6</v>
      </c>
      <c r="E20" s="2">
        <f>260-8-12.5</f>
        <v>239.5</v>
      </c>
      <c r="F20" s="2">
        <v>300</v>
      </c>
      <c r="G20" s="2">
        <v>0</v>
      </c>
      <c r="H20" s="2">
        <v>200</v>
      </c>
      <c r="I20" s="2">
        <v>200</v>
      </c>
      <c r="J20" s="2">
        <f t="shared" si="7"/>
        <v>3.6743215031315239</v>
      </c>
      <c r="K20" s="2">
        <v>280</v>
      </c>
      <c r="L20" s="2">
        <f t="shared" si="8"/>
        <v>100.53096491487338</v>
      </c>
      <c r="M20" s="2">
        <f>L20/O20/H20*100</f>
        <v>0.14361566416410482</v>
      </c>
      <c r="N20" s="2">
        <f>L20*K20</f>
        <v>28148.670176164545</v>
      </c>
      <c r="O20" s="2">
        <v>350</v>
      </c>
      <c r="P20" s="2">
        <f>IF(O20="-","-",IF(N20=0,"-",O20/E20))</f>
        <v>1.4613778705636744</v>
      </c>
      <c r="Q20" s="2">
        <f>IF(O20="-",0,O20/E20)</f>
        <v>1.4613778705636744</v>
      </c>
      <c r="R20" s="2">
        <f>2*PI()*25^2/4+PI()*25^2/4</f>
        <v>1472.6215563702156</v>
      </c>
      <c r="S20" s="2">
        <f>R20/E20/H20*100</f>
        <v>3.0743665059920993</v>
      </c>
      <c r="T20" s="2">
        <v>420</v>
      </c>
      <c r="U20" s="2">
        <v>3100</v>
      </c>
      <c r="V20" s="2">
        <v>165</v>
      </c>
      <c r="W20" s="2">
        <f>AA20*2</f>
        <v>37.5</v>
      </c>
      <c r="X20" s="2">
        <f>W20/Z20/H20*100</f>
        <v>5.3571428571428562E-2</v>
      </c>
      <c r="Y20" s="2">
        <f>W20*V20*1000</f>
        <v>6187500</v>
      </c>
      <c r="Z20" s="2">
        <v>350</v>
      </c>
      <c r="AA20" s="2">
        <f>15*2.5/2</f>
        <v>18.75</v>
      </c>
      <c r="AB20" s="2">
        <v>1.27</v>
      </c>
      <c r="AC20" s="2">
        <v>6</v>
      </c>
      <c r="AD20" s="2">
        <v>90</v>
      </c>
      <c r="AE20" s="2">
        <v>117.2</v>
      </c>
    </row>
    <row r="21" spans="1:31" x14ac:dyDescent="0.3">
      <c r="A21" s="2" t="s">
        <v>86</v>
      </c>
      <c r="B21" s="2" t="s">
        <v>98</v>
      </c>
      <c r="C21" s="2" t="s">
        <v>166</v>
      </c>
      <c r="D21" s="2">
        <f>47*0.8</f>
        <v>37.6</v>
      </c>
      <c r="E21" s="2">
        <f>260-8-12.5</f>
        <v>239.5</v>
      </c>
      <c r="F21" s="2">
        <v>300</v>
      </c>
      <c r="G21" s="2">
        <v>0</v>
      </c>
      <c r="H21" s="2">
        <v>200</v>
      </c>
      <c r="I21" s="2">
        <f t="shared" ref="I21:I40" si="9">IF(G21=0,H21,"")</f>
        <v>200</v>
      </c>
      <c r="J21" s="2">
        <f t="shared" si="7"/>
        <v>3.6743215031315239</v>
      </c>
      <c r="K21" s="2">
        <v>280</v>
      </c>
      <c r="L21" s="2">
        <f t="shared" si="8"/>
        <v>100.53096491487338</v>
      </c>
      <c r="M21" s="2">
        <f>L21/O21/H21*100</f>
        <v>0.14361566416410482</v>
      </c>
      <c r="N21" s="2">
        <f>L21*K21</f>
        <v>28148.670176164545</v>
      </c>
      <c r="O21" s="2">
        <v>350</v>
      </c>
      <c r="P21" s="2">
        <f>IF(O21="-","-",O21/E21)</f>
        <v>1.4613778705636744</v>
      </c>
      <c r="Q21" s="2">
        <f>IF(O21="-",0,O21/E21)</f>
        <v>1.4613778705636744</v>
      </c>
      <c r="R21" s="2">
        <f>2*PI()*25^2/4+PI()*25^2/4</f>
        <v>1472.6215563702156</v>
      </c>
      <c r="S21" s="2">
        <f>R21/E21/H21*100</f>
        <v>3.0743665059920993</v>
      </c>
      <c r="T21" s="2">
        <v>420</v>
      </c>
      <c r="U21" s="2">
        <v>3100</v>
      </c>
      <c r="V21" s="2">
        <v>165</v>
      </c>
      <c r="W21" s="2">
        <f>AA21*2</f>
        <v>37.5</v>
      </c>
      <c r="X21" s="2">
        <f>W21/Z21/H21*100</f>
        <v>0.11363636363636363</v>
      </c>
      <c r="Y21" s="2">
        <f>W21*V21*1000</f>
        <v>6187500</v>
      </c>
      <c r="Z21" s="2">
        <f>(120+210)/2</f>
        <v>165</v>
      </c>
      <c r="AA21" s="2">
        <f>15*2.5/2</f>
        <v>18.75</v>
      </c>
      <c r="AB21" s="2">
        <f>Z21/E21</f>
        <v>0.6889352818371608</v>
      </c>
      <c r="AC21" s="2">
        <v>6</v>
      </c>
      <c r="AD21" s="2">
        <v>90</v>
      </c>
      <c r="AE21" s="2">
        <v>114.3</v>
      </c>
    </row>
    <row r="22" spans="1:31" x14ac:dyDescent="0.3">
      <c r="A22" s="2" t="s">
        <v>85</v>
      </c>
      <c r="B22" s="2" t="s">
        <v>98</v>
      </c>
      <c r="C22" s="2" t="s">
        <v>246</v>
      </c>
      <c r="D22" s="2">
        <v>32.4</v>
      </c>
      <c r="E22" s="2">
        <f t="shared" ref="E22:E29" si="10">F22-20-8-9</f>
        <v>163</v>
      </c>
      <c r="F22" s="2">
        <v>200</v>
      </c>
      <c r="G22" s="2">
        <v>0</v>
      </c>
      <c r="H22" s="2">
        <v>150</v>
      </c>
      <c r="I22" s="2">
        <f t="shared" si="9"/>
        <v>150</v>
      </c>
      <c r="J22" s="2">
        <f t="shared" ref="J22:J29" si="11">600/E22</f>
        <v>3.6809815950920246</v>
      </c>
      <c r="K22" s="2">
        <v>322</v>
      </c>
      <c r="L22" s="2">
        <f t="shared" si="8"/>
        <v>100.53096491487338</v>
      </c>
      <c r="M22" s="2">
        <f>L22/O22/H22*100</f>
        <v>0.3351032163829113</v>
      </c>
      <c r="N22" s="2">
        <f>L22*K22</f>
        <v>32370.970702589228</v>
      </c>
      <c r="O22" s="2">
        <v>200</v>
      </c>
      <c r="P22" s="2">
        <f>IF(O22="-","-",O22/E22)</f>
        <v>1.2269938650306749</v>
      </c>
      <c r="Q22" s="2">
        <f>IF(O22="-",0,O22/E22)</f>
        <v>1.2269938650306749</v>
      </c>
      <c r="R22" s="2">
        <f t="shared" ref="R22:R29" si="12">2*PI()/4*18^2</f>
        <v>508.93800988154646</v>
      </c>
      <c r="S22" s="2">
        <f>R22/E22/H22*100</f>
        <v>2.0815460526852614</v>
      </c>
      <c r="T22" s="2">
        <v>430</v>
      </c>
      <c r="U22" s="2" t="s">
        <v>210</v>
      </c>
      <c r="V22" s="2" t="s">
        <v>210</v>
      </c>
      <c r="W22" s="2" t="s">
        <v>210</v>
      </c>
      <c r="X22" s="2">
        <v>0</v>
      </c>
      <c r="Y22" s="2">
        <v>0</v>
      </c>
      <c r="Z22" s="2" t="s">
        <v>210</v>
      </c>
      <c r="AA22" s="2" t="s">
        <v>210</v>
      </c>
      <c r="AB22" s="2">
        <v>5</v>
      </c>
      <c r="AC22" s="2">
        <v>6</v>
      </c>
      <c r="AD22" s="2">
        <v>90</v>
      </c>
      <c r="AE22" s="2">
        <f>162/2</f>
        <v>81</v>
      </c>
    </row>
    <row r="23" spans="1:31" x14ac:dyDescent="0.3">
      <c r="A23" s="2" t="s">
        <v>85</v>
      </c>
      <c r="B23" s="2" t="s">
        <v>98</v>
      </c>
      <c r="C23" s="2" t="s">
        <v>247</v>
      </c>
      <c r="D23" s="2">
        <v>32.4</v>
      </c>
      <c r="E23" s="2">
        <f t="shared" si="10"/>
        <v>163</v>
      </c>
      <c r="F23" s="2">
        <v>200</v>
      </c>
      <c r="G23" s="2">
        <v>0</v>
      </c>
      <c r="H23" s="2">
        <v>150</v>
      </c>
      <c r="I23" s="2">
        <f t="shared" si="9"/>
        <v>150</v>
      </c>
      <c r="J23" s="2">
        <f t="shared" si="11"/>
        <v>3.6809815950920246</v>
      </c>
      <c r="K23" s="2">
        <v>322</v>
      </c>
      <c r="L23" s="2">
        <f t="shared" si="8"/>
        <v>100.53096491487338</v>
      </c>
      <c r="M23" s="2">
        <f>L23/O23/H23*100</f>
        <v>0.3351032163829113</v>
      </c>
      <c r="N23" s="2">
        <f>L23*K23</f>
        <v>32370.970702589228</v>
      </c>
      <c r="O23" s="2">
        <v>200</v>
      </c>
      <c r="P23" s="2">
        <f>IF(O23="-","-",O23/E23)</f>
        <v>1.2269938650306749</v>
      </c>
      <c r="Q23" s="2">
        <f>IF(O23="-",0,O23/E23)</f>
        <v>1.2269938650306749</v>
      </c>
      <c r="R23" s="2">
        <f t="shared" si="12"/>
        <v>508.93800988154646</v>
      </c>
      <c r="S23" s="2">
        <f>R23/E23/H23*100</f>
        <v>2.0815460526852614</v>
      </c>
      <c r="T23" s="2">
        <v>430</v>
      </c>
      <c r="U23" s="2" t="s">
        <v>210</v>
      </c>
      <c r="V23" s="2" t="s">
        <v>210</v>
      </c>
      <c r="W23" s="2" t="s">
        <v>210</v>
      </c>
      <c r="X23" s="2">
        <v>0</v>
      </c>
      <c r="Y23" s="2">
        <v>0</v>
      </c>
      <c r="Z23" s="2" t="s">
        <v>210</v>
      </c>
      <c r="AA23" s="2" t="s">
        <v>210</v>
      </c>
      <c r="AB23" s="2">
        <v>5</v>
      </c>
      <c r="AC23" s="2">
        <v>6</v>
      </c>
      <c r="AD23" s="2">
        <v>90</v>
      </c>
      <c r="AE23" s="2">
        <f>164/2</f>
        <v>82</v>
      </c>
    </row>
    <row r="24" spans="1:31" x14ac:dyDescent="0.3">
      <c r="A24" s="2" t="s">
        <v>85</v>
      </c>
      <c r="B24" s="2" t="s">
        <v>98</v>
      </c>
      <c r="C24" s="2" t="s">
        <v>158</v>
      </c>
      <c r="D24" s="2">
        <v>32.4</v>
      </c>
      <c r="E24" s="2">
        <f t="shared" si="10"/>
        <v>163</v>
      </c>
      <c r="F24" s="2">
        <v>200</v>
      </c>
      <c r="G24" s="2">
        <v>0</v>
      </c>
      <c r="H24" s="2">
        <v>150</v>
      </c>
      <c r="I24" s="2">
        <f t="shared" si="9"/>
        <v>150</v>
      </c>
      <c r="J24" s="2">
        <f t="shared" si="11"/>
        <v>3.6809815950920246</v>
      </c>
      <c r="K24" s="2">
        <v>322</v>
      </c>
      <c r="L24" s="2">
        <f t="shared" si="8"/>
        <v>100.53096491487338</v>
      </c>
      <c r="M24" s="2">
        <f>L24/O24/H24*100</f>
        <v>0.3351032163829113</v>
      </c>
      <c r="N24" s="2">
        <f>L24*K24</f>
        <v>32370.970702589228</v>
      </c>
      <c r="O24" s="2">
        <v>200</v>
      </c>
      <c r="P24" s="2">
        <f>IF(O24="-","-",O24/E24)</f>
        <v>1.2269938650306749</v>
      </c>
      <c r="Q24" s="2">
        <f>IF(O24="-",0,O24/E24)</f>
        <v>1.2269938650306749</v>
      </c>
      <c r="R24" s="2">
        <f t="shared" si="12"/>
        <v>508.93800988154646</v>
      </c>
      <c r="S24" s="2">
        <f>R24/E24/H24*100</f>
        <v>2.0815460526852614</v>
      </c>
      <c r="T24" s="2">
        <v>430</v>
      </c>
      <c r="U24" s="2">
        <v>3100</v>
      </c>
      <c r="V24" s="2">
        <v>165</v>
      </c>
      <c r="W24" s="2">
        <v>75</v>
      </c>
      <c r="X24" s="2">
        <f>W24/Z24/H24*100/SIN(AD24*PI()/180)</f>
        <v>0.625</v>
      </c>
      <c r="Y24" s="2">
        <f t="shared" ref="Y24:Y29" si="13">W24*V24*1000</f>
        <v>12375000</v>
      </c>
      <c r="Z24" s="2">
        <v>80</v>
      </c>
      <c r="AA24" s="2">
        <f t="shared" ref="AA24:AA29" si="14">15*2.5</f>
        <v>37.5</v>
      </c>
      <c r="AB24" s="2">
        <f>Z24/E24</f>
        <v>0.49079754601226994</v>
      </c>
      <c r="AC24" s="2">
        <v>6</v>
      </c>
      <c r="AD24" s="2">
        <v>90</v>
      </c>
      <c r="AE24" s="2">
        <f>233/2</f>
        <v>116.5</v>
      </c>
    </row>
    <row r="25" spans="1:31" x14ac:dyDescent="0.3">
      <c r="A25" s="2" t="s">
        <v>85</v>
      </c>
      <c r="B25" s="2" t="s">
        <v>98</v>
      </c>
      <c r="C25" s="2" t="s">
        <v>159</v>
      </c>
      <c r="D25" s="2">
        <v>32.4</v>
      </c>
      <c r="E25" s="2">
        <f t="shared" si="10"/>
        <v>163</v>
      </c>
      <c r="F25" s="2">
        <v>200</v>
      </c>
      <c r="G25" s="2">
        <v>0</v>
      </c>
      <c r="H25" s="2">
        <v>150</v>
      </c>
      <c r="I25" s="2">
        <f t="shared" si="9"/>
        <v>150</v>
      </c>
      <c r="J25" s="2">
        <f t="shared" si="11"/>
        <v>3.6809815950920246</v>
      </c>
      <c r="K25" s="2">
        <v>322</v>
      </c>
      <c r="L25" s="2">
        <f t="shared" si="8"/>
        <v>100.53096491487338</v>
      </c>
      <c r="M25" s="2">
        <f>L25/O25/H25*100</f>
        <v>0.3351032163829113</v>
      </c>
      <c r="N25" s="2">
        <f>L25*K25</f>
        <v>32370.970702589228</v>
      </c>
      <c r="O25" s="2">
        <v>200</v>
      </c>
      <c r="P25" s="2">
        <f>IF(O25="-","-",O25/E25)</f>
        <v>1.2269938650306749</v>
      </c>
      <c r="Q25" s="2">
        <f>IF(O25="-",0,O25/E25)</f>
        <v>1.2269938650306749</v>
      </c>
      <c r="R25" s="2">
        <f t="shared" si="12"/>
        <v>508.93800988154646</v>
      </c>
      <c r="S25" s="2">
        <f>R25/E25/H25*100</f>
        <v>2.0815460526852614</v>
      </c>
      <c r="T25" s="2">
        <v>430</v>
      </c>
      <c r="U25" s="2">
        <v>3100</v>
      </c>
      <c r="V25" s="2">
        <v>165</v>
      </c>
      <c r="W25" s="2">
        <v>75</v>
      </c>
      <c r="X25" s="2">
        <f>W25/Z25/H25*100/SIN(AD25*PI()/180)</f>
        <v>0.88388347648318444</v>
      </c>
      <c r="Y25" s="2">
        <f t="shared" si="13"/>
        <v>12375000</v>
      </c>
      <c r="Z25" s="2">
        <v>80</v>
      </c>
      <c r="AA25" s="2">
        <f t="shared" si="14"/>
        <v>37.5</v>
      </c>
      <c r="AB25" s="2">
        <f>Z25/E25</f>
        <v>0.49079754601226994</v>
      </c>
      <c r="AC25" s="2">
        <v>6</v>
      </c>
      <c r="AD25" s="2">
        <v>45</v>
      </c>
      <c r="AE25" s="2">
        <f>273/2</f>
        <v>136.5</v>
      </c>
    </row>
    <row r="26" spans="1:31" x14ac:dyDescent="0.3">
      <c r="A26" s="2" t="s">
        <v>85</v>
      </c>
      <c r="B26" s="2" t="s">
        <v>98</v>
      </c>
      <c r="C26" s="2" t="s">
        <v>160</v>
      </c>
      <c r="D26" s="2">
        <v>32.4</v>
      </c>
      <c r="E26" s="2">
        <f t="shared" si="10"/>
        <v>163</v>
      </c>
      <c r="F26" s="2">
        <v>200</v>
      </c>
      <c r="G26" s="2">
        <v>0</v>
      </c>
      <c r="H26" s="2">
        <v>150</v>
      </c>
      <c r="I26" s="2">
        <f t="shared" si="9"/>
        <v>150</v>
      </c>
      <c r="J26" s="2">
        <f t="shared" si="11"/>
        <v>3.6809815950920246</v>
      </c>
      <c r="K26" s="2">
        <v>322</v>
      </c>
      <c r="L26" s="2">
        <f t="shared" si="8"/>
        <v>100.53096491487338</v>
      </c>
      <c r="M26" s="2">
        <f>L26/O26/H26*100</f>
        <v>0.3351032163829113</v>
      </c>
      <c r="N26" s="2">
        <f>L26*K26</f>
        <v>32370.970702589228</v>
      </c>
      <c r="O26" s="2">
        <v>200</v>
      </c>
      <c r="P26" s="2">
        <f>IF(O26="-","-",O26/E26)</f>
        <v>1.2269938650306749</v>
      </c>
      <c r="Q26" s="2">
        <f>IF(O26="-",0,O26/E26)</f>
        <v>1.2269938650306749</v>
      </c>
      <c r="R26" s="2">
        <f t="shared" si="12"/>
        <v>508.93800988154646</v>
      </c>
      <c r="S26" s="2">
        <f>R26/E26/H26*100</f>
        <v>2.0815460526852614</v>
      </c>
      <c r="T26" s="2">
        <v>430</v>
      </c>
      <c r="U26" s="2">
        <v>3100</v>
      </c>
      <c r="V26" s="2">
        <v>165</v>
      </c>
      <c r="W26" s="2">
        <v>75</v>
      </c>
      <c r="X26" s="2">
        <f>W26/Z26/H26*100/SIN(AD26*PI()/180)</f>
        <v>0.625</v>
      </c>
      <c r="Y26" s="2">
        <f t="shared" si="13"/>
        <v>12375000</v>
      </c>
      <c r="Z26" s="2">
        <v>80</v>
      </c>
      <c r="AA26" s="2">
        <f t="shared" si="14"/>
        <v>37.5</v>
      </c>
      <c r="AB26" s="2">
        <f>Z26/E26</f>
        <v>0.49079754601226994</v>
      </c>
      <c r="AC26" s="2">
        <v>6</v>
      </c>
      <c r="AD26" s="2">
        <v>90</v>
      </c>
      <c r="AE26" s="2">
        <v>134</v>
      </c>
    </row>
    <row r="27" spans="1:31" x14ac:dyDescent="0.3">
      <c r="A27" s="2" t="s">
        <v>85</v>
      </c>
      <c r="B27" s="2" t="s">
        <v>98</v>
      </c>
      <c r="C27" s="2" t="s">
        <v>161</v>
      </c>
      <c r="D27" s="2">
        <v>32.4</v>
      </c>
      <c r="E27" s="2">
        <f t="shared" si="10"/>
        <v>163</v>
      </c>
      <c r="F27" s="2">
        <v>200</v>
      </c>
      <c r="G27" s="2">
        <v>0</v>
      </c>
      <c r="H27" s="2">
        <v>150</v>
      </c>
      <c r="I27" s="2">
        <f t="shared" si="9"/>
        <v>150</v>
      </c>
      <c r="J27" s="2">
        <f t="shared" si="11"/>
        <v>3.6809815950920246</v>
      </c>
      <c r="K27" s="2">
        <v>322</v>
      </c>
      <c r="L27" s="2">
        <f t="shared" si="8"/>
        <v>100.53096491487338</v>
      </c>
      <c r="M27" s="2">
        <f>L27/O27/H27*100</f>
        <v>0.3351032163829113</v>
      </c>
      <c r="N27" s="2">
        <f>L27*K27</f>
        <v>32370.970702589228</v>
      </c>
      <c r="O27" s="2">
        <v>200</v>
      </c>
      <c r="P27" s="2">
        <f>IF(O27="-","-",O27/E27)</f>
        <v>1.2269938650306749</v>
      </c>
      <c r="Q27" s="2">
        <f>IF(O27="-",0,O27/E27)</f>
        <v>1.2269938650306749</v>
      </c>
      <c r="R27" s="2">
        <f t="shared" si="12"/>
        <v>508.93800988154646</v>
      </c>
      <c r="S27" s="2">
        <f>R27/E27/H27*100</f>
        <v>2.0815460526852614</v>
      </c>
      <c r="T27" s="2">
        <v>430</v>
      </c>
      <c r="U27" s="2">
        <v>3100</v>
      </c>
      <c r="V27" s="2">
        <v>165</v>
      </c>
      <c r="W27" s="2">
        <v>75</v>
      </c>
      <c r="X27" s="2">
        <f>W27/Z27/H27*100/SIN(AD27*PI()/180)</f>
        <v>0.88388347648318444</v>
      </c>
      <c r="Y27" s="2">
        <f t="shared" si="13"/>
        <v>12375000</v>
      </c>
      <c r="Z27" s="2">
        <v>80</v>
      </c>
      <c r="AA27" s="2">
        <f t="shared" si="14"/>
        <v>37.5</v>
      </c>
      <c r="AB27" s="2">
        <f>Z27/E27</f>
        <v>0.49079754601226994</v>
      </c>
      <c r="AC27" s="2">
        <v>6</v>
      </c>
      <c r="AD27" s="2">
        <v>45</v>
      </c>
      <c r="AE27" s="2">
        <f>279/2</f>
        <v>139.5</v>
      </c>
    </row>
    <row r="28" spans="1:31" x14ac:dyDescent="0.3">
      <c r="A28" s="2" t="s">
        <v>85</v>
      </c>
      <c r="B28" s="2" t="s">
        <v>98</v>
      </c>
      <c r="C28" s="2" t="s">
        <v>162</v>
      </c>
      <c r="D28" s="2">
        <v>32.4</v>
      </c>
      <c r="E28" s="2">
        <f t="shared" si="10"/>
        <v>163</v>
      </c>
      <c r="F28" s="2">
        <v>200</v>
      </c>
      <c r="G28" s="2">
        <v>0</v>
      </c>
      <c r="H28" s="2">
        <v>150</v>
      </c>
      <c r="I28" s="2">
        <f t="shared" si="9"/>
        <v>150</v>
      </c>
      <c r="J28" s="2">
        <f t="shared" si="11"/>
        <v>3.6809815950920246</v>
      </c>
      <c r="K28" s="2">
        <v>322</v>
      </c>
      <c r="L28" s="2">
        <f t="shared" si="8"/>
        <v>100.53096491487338</v>
      </c>
      <c r="M28" s="2">
        <f>L28/O28/H28*100</f>
        <v>0.3351032163829113</v>
      </c>
      <c r="N28" s="2">
        <f>L28*K28</f>
        <v>32370.970702589228</v>
      </c>
      <c r="O28" s="2">
        <v>200</v>
      </c>
      <c r="P28" s="2">
        <f>IF(O28="-","-",O28/E28)</f>
        <v>1.2269938650306749</v>
      </c>
      <c r="Q28" s="2">
        <f>IF(O28="-",0,O28/E28)</f>
        <v>1.2269938650306749</v>
      </c>
      <c r="R28" s="2">
        <f t="shared" si="12"/>
        <v>508.93800988154646</v>
      </c>
      <c r="S28" s="2">
        <f>R28/E28/H28*100</f>
        <v>2.0815460526852614</v>
      </c>
      <c r="T28" s="2">
        <v>430</v>
      </c>
      <c r="U28" s="2">
        <v>3100</v>
      </c>
      <c r="V28" s="2">
        <v>165</v>
      </c>
      <c r="W28" s="2">
        <v>75</v>
      </c>
      <c r="X28" s="2">
        <f>W28/Z28/H28*100/SIN(AD28*PI()/180)</f>
        <v>0.7142857142857143</v>
      </c>
      <c r="Y28" s="2">
        <f t="shared" si="13"/>
        <v>12375000</v>
      </c>
      <c r="Z28" s="2">
        <v>70</v>
      </c>
      <c r="AA28" s="2">
        <f t="shared" si="14"/>
        <v>37.5</v>
      </c>
      <c r="AB28" s="2">
        <f>Z28/E28</f>
        <v>0.42944785276073622</v>
      </c>
      <c r="AC28" s="2">
        <v>6</v>
      </c>
      <c r="AD28" s="2">
        <v>90</v>
      </c>
      <c r="AE28" s="2">
        <f>285/2</f>
        <v>142.5</v>
      </c>
    </row>
    <row r="29" spans="1:31" x14ac:dyDescent="0.3">
      <c r="A29" s="2" t="s">
        <v>85</v>
      </c>
      <c r="B29" s="2" t="s">
        <v>98</v>
      </c>
      <c r="C29" s="2" t="s">
        <v>163</v>
      </c>
      <c r="D29" s="2">
        <v>32.4</v>
      </c>
      <c r="E29" s="2">
        <f t="shared" si="10"/>
        <v>163</v>
      </c>
      <c r="F29" s="2">
        <v>200</v>
      </c>
      <c r="G29" s="2">
        <v>0</v>
      </c>
      <c r="H29" s="2">
        <v>150</v>
      </c>
      <c r="I29" s="2">
        <f t="shared" si="9"/>
        <v>150</v>
      </c>
      <c r="J29" s="2">
        <f t="shared" si="11"/>
        <v>3.6809815950920246</v>
      </c>
      <c r="K29" s="2">
        <v>322</v>
      </c>
      <c r="L29" s="2">
        <f t="shared" si="8"/>
        <v>100.53096491487338</v>
      </c>
      <c r="M29" s="2">
        <f>L29/O29/H29*100</f>
        <v>0.3351032163829113</v>
      </c>
      <c r="N29" s="2">
        <f>L29*K29</f>
        <v>32370.970702589228</v>
      </c>
      <c r="O29" s="2">
        <v>200</v>
      </c>
      <c r="P29" s="2">
        <f>IF(O29="-","-",O29/E29)</f>
        <v>1.2269938650306749</v>
      </c>
      <c r="Q29" s="2">
        <f>IF(O29="-",0,O29/E29)</f>
        <v>1.2269938650306749</v>
      </c>
      <c r="R29" s="2">
        <f t="shared" si="12"/>
        <v>508.93800988154646</v>
      </c>
      <c r="S29" s="2">
        <f>R29/E29/H29*100</f>
        <v>2.0815460526852614</v>
      </c>
      <c r="T29" s="2">
        <v>430</v>
      </c>
      <c r="U29" s="2">
        <v>3100</v>
      </c>
      <c r="V29" s="2">
        <v>165</v>
      </c>
      <c r="W29" s="2">
        <v>75</v>
      </c>
      <c r="X29" s="2">
        <f>W29/Z29/H29*100/SIN(AD29*PI()/180)</f>
        <v>1.0101525445522108</v>
      </c>
      <c r="Y29" s="2">
        <f t="shared" si="13"/>
        <v>12375000</v>
      </c>
      <c r="Z29" s="2">
        <v>70</v>
      </c>
      <c r="AA29" s="2">
        <f t="shared" si="14"/>
        <v>37.5</v>
      </c>
      <c r="AB29" s="2">
        <f>Z29/E29</f>
        <v>0.42944785276073622</v>
      </c>
      <c r="AC29" s="2">
        <v>6</v>
      </c>
      <c r="AD29" s="2">
        <v>45</v>
      </c>
      <c r="AE29" s="2">
        <v>142</v>
      </c>
    </row>
    <row r="30" spans="1:31" x14ac:dyDescent="0.3">
      <c r="A30" s="2" t="s">
        <v>87</v>
      </c>
      <c r="B30" s="2" t="s">
        <v>98</v>
      </c>
      <c r="C30" s="2" t="s">
        <v>248</v>
      </c>
      <c r="D30" s="2">
        <v>45.6</v>
      </c>
      <c r="E30" s="2">
        <f t="shared" ref="E30:E37" si="15">F30-20-6-16-8</f>
        <v>270</v>
      </c>
      <c r="F30" s="2">
        <v>320</v>
      </c>
      <c r="G30" s="2">
        <v>0</v>
      </c>
      <c r="H30" s="2">
        <v>140</v>
      </c>
      <c r="I30" s="2">
        <f t="shared" si="9"/>
        <v>140</v>
      </c>
      <c r="J30" s="2">
        <f t="shared" ref="J30:J37" si="16">700/E30</f>
        <v>2.5925925925925926</v>
      </c>
      <c r="K30" s="2">
        <v>635</v>
      </c>
      <c r="L30" s="2">
        <f t="shared" ref="L30:L37" si="17">2*PI()*6^2/4</f>
        <v>56.548667764616276</v>
      </c>
      <c r="M30" s="2">
        <f>L30/O30/H30*100</f>
        <v>0.16156762218461793</v>
      </c>
      <c r="N30" s="2">
        <f>L30*K30</f>
        <v>35908.404030531332</v>
      </c>
      <c r="O30" s="2">
        <v>250</v>
      </c>
      <c r="P30" s="2">
        <f>IF(O30="-","-",O30/E30)</f>
        <v>0.92592592592592593</v>
      </c>
      <c r="Q30" s="2">
        <f>IF(O30="-",0,O30/E30)</f>
        <v>0.92592592592592593</v>
      </c>
      <c r="R30" s="2">
        <f t="shared" ref="R30:R37" si="18">6*PI()*16^2/4</f>
        <v>1206.3715789784806</v>
      </c>
      <c r="S30" s="2">
        <f>R30/E30/H30*100</f>
        <v>3.1914592036467737</v>
      </c>
      <c r="T30" s="2">
        <v>560</v>
      </c>
      <c r="U30" s="2" t="s">
        <v>210</v>
      </c>
      <c r="V30" s="2" t="s">
        <v>210</v>
      </c>
      <c r="W30" s="2" t="s">
        <v>210</v>
      </c>
      <c r="X30" s="2">
        <v>0</v>
      </c>
      <c r="Y30" s="2">
        <v>0</v>
      </c>
      <c r="Z30" s="2" t="s">
        <v>210</v>
      </c>
      <c r="AA30" s="2" t="s">
        <v>210</v>
      </c>
      <c r="AB30" s="2">
        <v>5</v>
      </c>
      <c r="AC30" s="2">
        <v>1</v>
      </c>
      <c r="AD30" s="2">
        <v>90</v>
      </c>
      <c r="AE30" s="2">
        <f>(135/2+164/2)*18/25</f>
        <v>107.64</v>
      </c>
    </row>
    <row r="31" spans="1:31" x14ac:dyDescent="0.3">
      <c r="A31" s="2" t="s">
        <v>176</v>
      </c>
      <c r="B31" s="2" t="s">
        <v>98</v>
      </c>
      <c r="C31" s="2" t="s">
        <v>249</v>
      </c>
      <c r="D31" s="2">
        <v>45.6</v>
      </c>
      <c r="E31" s="2">
        <f t="shared" si="15"/>
        <v>270</v>
      </c>
      <c r="F31" s="2">
        <v>320</v>
      </c>
      <c r="G31" s="2">
        <v>0</v>
      </c>
      <c r="H31" s="2">
        <v>140</v>
      </c>
      <c r="I31" s="2">
        <f t="shared" si="9"/>
        <v>140</v>
      </c>
      <c r="J31" s="2">
        <f t="shared" si="16"/>
        <v>2.5925925925925926</v>
      </c>
      <c r="K31" s="2">
        <v>635</v>
      </c>
      <c r="L31" s="2">
        <f t="shared" si="17"/>
        <v>56.548667764616276</v>
      </c>
      <c r="M31" s="2">
        <f>L31/O31/H31*100</f>
        <v>0.16156762218461793</v>
      </c>
      <c r="N31" s="2">
        <f>L31*K31</f>
        <v>35908.404030531332</v>
      </c>
      <c r="O31" s="2">
        <v>250</v>
      </c>
      <c r="P31" s="2">
        <f>IF(O31="-","-",O31/E31)</f>
        <v>0.92592592592592593</v>
      </c>
      <c r="Q31" s="2">
        <f>IF(O31="-",0,O31/E31)</f>
        <v>0.92592592592592593</v>
      </c>
      <c r="R31" s="2">
        <f t="shared" si="18"/>
        <v>1206.3715789784806</v>
      </c>
      <c r="S31" s="2">
        <f>R31/E31/H31*100</f>
        <v>3.1914592036467737</v>
      </c>
      <c r="T31" s="2">
        <v>560</v>
      </c>
      <c r="U31" s="2" t="s">
        <v>210</v>
      </c>
      <c r="V31" s="2" t="s">
        <v>210</v>
      </c>
      <c r="W31" s="2" t="s">
        <v>210</v>
      </c>
      <c r="X31" s="2">
        <v>0</v>
      </c>
      <c r="Y31" s="2">
        <v>0</v>
      </c>
      <c r="Z31" s="2" t="s">
        <v>210</v>
      </c>
      <c r="AA31" s="2" t="s">
        <v>210</v>
      </c>
      <c r="AB31" s="2">
        <v>5</v>
      </c>
      <c r="AC31" s="2">
        <v>1</v>
      </c>
      <c r="AD31" s="2">
        <v>90</v>
      </c>
      <c r="AE31" s="2">
        <f>(126/2+156/2)*18/25</f>
        <v>101.52</v>
      </c>
    </row>
    <row r="32" spans="1:31" x14ac:dyDescent="0.3">
      <c r="A32" s="2" t="s">
        <v>87</v>
      </c>
      <c r="B32" s="2" t="s">
        <v>98</v>
      </c>
      <c r="C32" s="2" t="s">
        <v>252</v>
      </c>
      <c r="D32" s="2">
        <v>45.6</v>
      </c>
      <c r="E32" s="2">
        <f t="shared" si="15"/>
        <v>270</v>
      </c>
      <c r="F32" s="2">
        <v>320</v>
      </c>
      <c r="G32" s="2">
        <v>0</v>
      </c>
      <c r="H32" s="2">
        <v>140</v>
      </c>
      <c r="I32" s="2">
        <f t="shared" si="9"/>
        <v>140</v>
      </c>
      <c r="J32" s="2">
        <f t="shared" si="16"/>
        <v>2.5925925925925926</v>
      </c>
      <c r="K32" s="2">
        <v>635</v>
      </c>
      <c r="L32" s="2">
        <f t="shared" si="17"/>
        <v>56.548667764616276</v>
      </c>
      <c r="M32" s="2">
        <f>L32/O32/H32*100</f>
        <v>0.16156762218461793</v>
      </c>
      <c r="N32" s="2">
        <f>L32*K32</f>
        <v>35908.404030531332</v>
      </c>
      <c r="O32" s="2">
        <v>250</v>
      </c>
      <c r="P32" s="2">
        <f>IF(O32="-","-",O32/E32)</f>
        <v>0.92592592592592593</v>
      </c>
      <c r="Q32" s="2">
        <f>IF(O32="-",0,O32/E32)</f>
        <v>0.92592592592592593</v>
      </c>
      <c r="R32" s="2">
        <f t="shared" si="18"/>
        <v>1206.3715789784806</v>
      </c>
      <c r="S32" s="2">
        <f>R32/E32/H32*100</f>
        <v>3.1914592036467737</v>
      </c>
      <c r="T32" s="2">
        <v>560</v>
      </c>
      <c r="U32" s="2">
        <v>2160</v>
      </c>
      <c r="V32" s="2">
        <v>146</v>
      </c>
      <c r="W32" s="2">
        <f t="shared" ref="W32:W37" si="19">AA32*2</f>
        <v>26</v>
      </c>
      <c r="X32" s="2">
        <f>W32/Z32/H32*100/SIN(AD32*PI()/180)</f>
        <v>0.18571428571428572</v>
      </c>
      <c r="Y32" s="2">
        <f t="shared" ref="Y32:Y37" si="20">W32*V32*1000</f>
        <v>3796000</v>
      </c>
      <c r="Z32" s="2">
        <v>100</v>
      </c>
      <c r="AA32" s="2">
        <f>4*3.25</f>
        <v>13</v>
      </c>
      <c r="AB32" s="2">
        <f>Z32/E32</f>
        <v>0.37037037037037035</v>
      </c>
      <c r="AC32" s="2">
        <f t="shared" ref="AC32:AC37" si="21">20/1.4</f>
        <v>14.285714285714286</v>
      </c>
      <c r="AD32" s="2">
        <v>90</v>
      </c>
      <c r="AE32" s="2">
        <f>(285/2+300/2)*18/25</f>
        <v>210.6</v>
      </c>
    </row>
    <row r="33" spans="1:31" x14ac:dyDescent="0.3">
      <c r="A33" s="2" t="s">
        <v>176</v>
      </c>
      <c r="B33" s="2" t="s">
        <v>98</v>
      </c>
      <c r="C33" s="2" t="s">
        <v>253</v>
      </c>
      <c r="D33" s="2">
        <v>45.6</v>
      </c>
      <c r="E33" s="2">
        <f t="shared" si="15"/>
        <v>270</v>
      </c>
      <c r="F33" s="2">
        <v>320</v>
      </c>
      <c r="G33" s="2">
        <v>0</v>
      </c>
      <c r="H33" s="2">
        <v>140</v>
      </c>
      <c r="I33" s="2">
        <f t="shared" si="9"/>
        <v>140</v>
      </c>
      <c r="J33" s="2">
        <f t="shared" si="16"/>
        <v>2.5925925925925926</v>
      </c>
      <c r="K33" s="2">
        <v>635</v>
      </c>
      <c r="L33" s="2">
        <f t="shared" si="17"/>
        <v>56.548667764616276</v>
      </c>
      <c r="M33" s="2">
        <f>L33/O33/H33*100</f>
        <v>0.16156762218461793</v>
      </c>
      <c r="N33" s="2">
        <f>L33*K33</f>
        <v>35908.404030531332</v>
      </c>
      <c r="O33" s="2">
        <v>250</v>
      </c>
      <c r="P33" s="2">
        <f>IF(O33="-","-",O33/E33)</f>
        <v>0.92592592592592593</v>
      </c>
      <c r="Q33" s="2">
        <f>IF(O33="-",0,O33/E33)</f>
        <v>0.92592592592592593</v>
      </c>
      <c r="R33" s="2">
        <f t="shared" si="18"/>
        <v>1206.3715789784806</v>
      </c>
      <c r="S33" s="2">
        <f>R33/E33/H33*100</f>
        <v>3.1914592036467737</v>
      </c>
      <c r="T33" s="2">
        <v>560</v>
      </c>
      <c r="U33" s="2">
        <v>2160</v>
      </c>
      <c r="V33" s="2">
        <v>146</v>
      </c>
      <c r="W33" s="2">
        <f t="shared" si="19"/>
        <v>26</v>
      </c>
      <c r="X33" s="2">
        <f>W33/Z33/H33*100/SIN(AD33*PI()/180)</f>
        <v>0.18571428571428572</v>
      </c>
      <c r="Y33" s="2">
        <f t="shared" si="20"/>
        <v>3796000</v>
      </c>
      <c r="Z33" s="2">
        <v>100</v>
      </c>
      <c r="AA33" s="2">
        <f>4*3.25</f>
        <v>13</v>
      </c>
      <c r="AB33" s="2">
        <f>Z33/E33</f>
        <v>0.37037037037037035</v>
      </c>
      <c r="AC33" s="2">
        <f t="shared" si="21"/>
        <v>14.285714285714286</v>
      </c>
      <c r="AD33" s="2">
        <v>90</v>
      </c>
      <c r="AE33" s="2">
        <f>(293/2+294/2)*18/25</f>
        <v>211.32</v>
      </c>
    </row>
    <row r="34" spans="1:31" x14ac:dyDescent="0.3">
      <c r="A34" s="2" t="s">
        <v>177</v>
      </c>
      <c r="B34" s="2" t="s">
        <v>98</v>
      </c>
      <c r="C34" s="2" t="s">
        <v>254</v>
      </c>
      <c r="D34" s="2">
        <v>45.6</v>
      </c>
      <c r="E34" s="2">
        <f t="shared" si="15"/>
        <v>270</v>
      </c>
      <c r="F34" s="2">
        <v>320</v>
      </c>
      <c r="G34" s="2">
        <v>0</v>
      </c>
      <c r="H34" s="2">
        <v>140</v>
      </c>
      <c r="I34" s="2">
        <f t="shared" si="9"/>
        <v>140</v>
      </c>
      <c r="J34" s="2">
        <f t="shared" si="16"/>
        <v>2.5925925925925926</v>
      </c>
      <c r="K34" s="2">
        <v>635</v>
      </c>
      <c r="L34" s="2">
        <f t="shared" si="17"/>
        <v>56.548667764616276</v>
      </c>
      <c r="M34" s="2">
        <f>L34/O34/H34*100</f>
        <v>0.16156762218461793</v>
      </c>
      <c r="N34" s="2">
        <f>L34*K34</f>
        <v>35908.404030531332</v>
      </c>
      <c r="O34" s="2">
        <v>250</v>
      </c>
      <c r="P34" s="2">
        <f>IF(O34="-","-",O34/E34)</f>
        <v>0.92592592592592593</v>
      </c>
      <c r="Q34" s="2">
        <f>IF(O34="-",0,O34/E34)</f>
        <v>0.92592592592592593</v>
      </c>
      <c r="R34" s="2">
        <f t="shared" si="18"/>
        <v>1206.3715789784806</v>
      </c>
      <c r="S34" s="2">
        <f>R34/E34/H34*100</f>
        <v>3.1914592036467737</v>
      </c>
      <c r="T34" s="2">
        <v>560</v>
      </c>
      <c r="U34" s="2">
        <v>2160</v>
      </c>
      <c r="V34" s="2">
        <v>146</v>
      </c>
      <c r="W34" s="2">
        <f t="shared" si="19"/>
        <v>26</v>
      </c>
      <c r="X34" s="2">
        <f>W34/Z34/H34*100/SIN(AD34*PI()/180)</f>
        <v>0.18571428571428572</v>
      </c>
      <c r="Y34" s="2">
        <f t="shared" si="20"/>
        <v>3796000</v>
      </c>
      <c r="Z34" s="2">
        <v>100</v>
      </c>
      <c r="AA34" s="2">
        <f>4*3.25</f>
        <v>13</v>
      </c>
      <c r="AB34" s="2">
        <f>Z34/E34</f>
        <v>0.37037037037037035</v>
      </c>
      <c r="AC34" s="2">
        <f t="shared" si="21"/>
        <v>14.285714285714286</v>
      </c>
      <c r="AD34" s="2">
        <v>90</v>
      </c>
      <c r="AE34" s="2">
        <f>(277/2+281/2)*18/25</f>
        <v>200.88</v>
      </c>
    </row>
    <row r="35" spans="1:31" x14ac:dyDescent="0.3">
      <c r="A35" s="2" t="s">
        <v>178</v>
      </c>
      <c r="B35" s="2" t="s">
        <v>98</v>
      </c>
      <c r="C35" s="2" t="s">
        <v>255</v>
      </c>
      <c r="D35" s="2">
        <v>45.6</v>
      </c>
      <c r="E35" s="2">
        <f t="shared" si="15"/>
        <v>270</v>
      </c>
      <c r="F35" s="2">
        <v>320</v>
      </c>
      <c r="G35" s="2">
        <v>0</v>
      </c>
      <c r="H35" s="2">
        <v>140</v>
      </c>
      <c r="I35" s="2">
        <f t="shared" si="9"/>
        <v>140</v>
      </c>
      <c r="J35" s="2">
        <f t="shared" si="16"/>
        <v>2.5925925925925926</v>
      </c>
      <c r="K35" s="2">
        <v>635</v>
      </c>
      <c r="L35" s="2">
        <f t="shared" si="17"/>
        <v>56.548667764616276</v>
      </c>
      <c r="M35" s="2">
        <f>L35/O35/H35*100</f>
        <v>0.16156762218461793</v>
      </c>
      <c r="N35" s="2">
        <f>L35*K35</f>
        <v>35908.404030531332</v>
      </c>
      <c r="O35" s="2">
        <v>250</v>
      </c>
      <c r="P35" s="2">
        <f>IF(O35="-","-",O35/E35)</f>
        <v>0.92592592592592593</v>
      </c>
      <c r="Q35" s="2">
        <f>IF(O35="-",0,O35/E35)</f>
        <v>0.92592592592592593</v>
      </c>
      <c r="R35" s="2">
        <f t="shared" si="18"/>
        <v>1206.3715789784806</v>
      </c>
      <c r="S35" s="2">
        <f>R35/E35/H35*100</f>
        <v>3.1914592036467737</v>
      </c>
      <c r="T35" s="2">
        <v>560</v>
      </c>
      <c r="U35" s="2">
        <v>2160</v>
      </c>
      <c r="V35" s="2">
        <v>146</v>
      </c>
      <c r="W35" s="2">
        <f t="shared" si="19"/>
        <v>26</v>
      </c>
      <c r="X35" s="2">
        <f>W35/Z35/H35*100/SIN(AD35*PI()/180)</f>
        <v>0.18571428571428572</v>
      </c>
      <c r="Y35" s="2">
        <f t="shared" si="20"/>
        <v>3796000</v>
      </c>
      <c r="Z35" s="2">
        <v>100</v>
      </c>
      <c r="AA35" s="2">
        <f>4*3.25</f>
        <v>13</v>
      </c>
      <c r="AB35" s="2">
        <f>Z35/E35</f>
        <v>0.37037037037037035</v>
      </c>
      <c r="AC35" s="2">
        <f t="shared" si="21"/>
        <v>14.285714285714286</v>
      </c>
      <c r="AD35" s="2">
        <v>90</v>
      </c>
      <c r="AE35" s="2">
        <f>(286/2+303/2)*18/25</f>
        <v>212.04</v>
      </c>
    </row>
    <row r="36" spans="1:31" x14ac:dyDescent="0.3">
      <c r="A36" s="2" t="s">
        <v>177</v>
      </c>
      <c r="B36" s="2" t="s">
        <v>98</v>
      </c>
      <c r="C36" s="2" t="s">
        <v>250</v>
      </c>
      <c r="D36" s="2">
        <v>45.6</v>
      </c>
      <c r="E36" s="2">
        <f t="shared" si="15"/>
        <v>270</v>
      </c>
      <c r="F36" s="2">
        <v>320</v>
      </c>
      <c r="G36" s="2">
        <v>0</v>
      </c>
      <c r="H36" s="2">
        <v>140</v>
      </c>
      <c r="I36" s="2">
        <f t="shared" si="9"/>
        <v>140</v>
      </c>
      <c r="J36" s="2">
        <f t="shared" si="16"/>
        <v>2.5925925925925926</v>
      </c>
      <c r="K36" s="2">
        <v>635</v>
      </c>
      <c r="L36" s="2">
        <f t="shared" si="17"/>
        <v>56.548667764616276</v>
      </c>
      <c r="M36" s="2">
        <f>L36/O36/H36*100</f>
        <v>0.16156762218461793</v>
      </c>
      <c r="N36" s="2">
        <f>L36*K36</f>
        <v>35908.404030531332</v>
      </c>
      <c r="O36" s="2">
        <v>250</v>
      </c>
      <c r="P36" s="2">
        <f>IF(O36="-","-",O36/E36)</f>
        <v>0.92592592592592593</v>
      </c>
      <c r="Q36" s="2">
        <f>IF(O36="-",0,O36/E36)</f>
        <v>0.92592592592592593</v>
      </c>
      <c r="R36" s="2">
        <f t="shared" si="18"/>
        <v>1206.3715789784806</v>
      </c>
      <c r="S36" s="2">
        <f>R36/E36/H36*100</f>
        <v>3.1914592036467737</v>
      </c>
      <c r="T36" s="2">
        <v>560</v>
      </c>
      <c r="U36" s="2">
        <v>3300</v>
      </c>
      <c r="V36" s="2">
        <v>210</v>
      </c>
      <c r="W36" s="2">
        <f t="shared" si="19"/>
        <v>56</v>
      </c>
      <c r="X36" s="2">
        <f>W36/Z36/H36*100/SIN(AD36*PI()/180)</f>
        <v>0.4</v>
      </c>
      <c r="Y36" s="2">
        <f t="shared" si="20"/>
        <v>11760000</v>
      </c>
      <c r="Z36" s="2">
        <v>100</v>
      </c>
      <c r="AA36" s="2">
        <f>20*1.4</f>
        <v>28</v>
      </c>
      <c r="AB36" s="2">
        <f>Z36/E36</f>
        <v>0.37037037037037035</v>
      </c>
      <c r="AC36" s="2">
        <f t="shared" si="21"/>
        <v>14.285714285714286</v>
      </c>
      <c r="AD36" s="2">
        <v>90</v>
      </c>
      <c r="AE36" s="2">
        <f>(307/2+295/2)*18/25</f>
        <v>216.72</v>
      </c>
    </row>
    <row r="37" spans="1:31" x14ac:dyDescent="0.3">
      <c r="A37" s="2" t="s">
        <v>178</v>
      </c>
      <c r="B37" s="2" t="s">
        <v>98</v>
      </c>
      <c r="C37" s="2" t="s">
        <v>251</v>
      </c>
      <c r="D37" s="2">
        <v>45.6</v>
      </c>
      <c r="E37" s="2">
        <f t="shared" si="15"/>
        <v>270</v>
      </c>
      <c r="F37" s="2">
        <v>320</v>
      </c>
      <c r="G37" s="2">
        <v>0</v>
      </c>
      <c r="H37" s="2">
        <v>140</v>
      </c>
      <c r="I37" s="2">
        <f t="shared" si="9"/>
        <v>140</v>
      </c>
      <c r="J37" s="2">
        <f t="shared" si="16"/>
        <v>2.5925925925925926</v>
      </c>
      <c r="K37" s="2">
        <v>635</v>
      </c>
      <c r="L37" s="2">
        <f t="shared" si="17"/>
        <v>56.548667764616276</v>
      </c>
      <c r="M37" s="2">
        <f>L37/O37/H37*100</f>
        <v>0.16156762218461793</v>
      </c>
      <c r="N37" s="2">
        <f>L37*K37</f>
        <v>35908.404030531332</v>
      </c>
      <c r="O37" s="2">
        <v>250</v>
      </c>
      <c r="P37" s="2">
        <f>IF(O37="-","-",O37/E37)</f>
        <v>0.92592592592592593</v>
      </c>
      <c r="Q37" s="2">
        <f>IF(O37="-",0,O37/E37)</f>
        <v>0.92592592592592593</v>
      </c>
      <c r="R37" s="2">
        <f t="shared" si="18"/>
        <v>1206.3715789784806</v>
      </c>
      <c r="S37" s="2">
        <f>R37/E37/H37*100</f>
        <v>3.1914592036467737</v>
      </c>
      <c r="T37" s="2">
        <v>560</v>
      </c>
      <c r="U37" s="2">
        <v>3300</v>
      </c>
      <c r="V37" s="2">
        <v>210</v>
      </c>
      <c r="W37" s="2">
        <f t="shared" si="19"/>
        <v>56</v>
      </c>
      <c r="X37" s="2">
        <f>W37/Z37/H37*100/SIN(AD37*PI()/180)</f>
        <v>0.4</v>
      </c>
      <c r="Y37" s="2">
        <f t="shared" si="20"/>
        <v>11760000</v>
      </c>
      <c r="Z37" s="2">
        <v>100</v>
      </c>
      <c r="AA37" s="2">
        <f>20*1.4</f>
        <v>28</v>
      </c>
      <c r="AB37" s="2">
        <f>Z37/E37</f>
        <v>0.37037037037037035</v>
      </c>
      <c r="AC37" s="2">
        <f t="shared" si="21"/>
        <v>14.285714285714286</v>
      </c>
      <c r="AD37" s="2">
        <v>90</v>
      </c>
      <c r="AE37" s="2">
        <f>(301/2+307/2)*18/25</f>
        <v>218.88</v>
      </c>
    </row>
    <row r="38" spans="1:31" x14ac:dyDescent="0.3">
      <c r="A38" s="2" t="s">
        <v>193</v>
      </c>
      <c r="B38" s="2"/>
      <c r="C38" s="2" t="s">
        <v>256</v>
      </c>
      <c r="D38" s="2">
        <v>32.700000000000003</v>
      </c>
      <c r="E38" s="2">
        <v>264</v>
      </c>
      <c r="F38" s="2">
        <v>300</v>
      </c>
      <c r="G38" s="2">
        <v>0</v>
      </c>
      <c r="H38" s="2">
        <v>150</v>
      </c>
      <c r="I38" s="2">
        <f t="shared" si="9"/>
        <v>150</v>
      </c>
      <c r="J38" s="2">
        <f t="shared" ref="J38:J43" si="22">900/E38</f>
        <v>3.4090909090909092</v>
      </c>
      <c r="K38" s="2" t="s">
        <v>210</v>
      </c>
      <c r="L38" s="2" t="s">
        <v>210</v>
      </c>
      <c r="M38" s="2" t="s">
        <v>210</v>
      </c>
      <c r="N38" s="2">
        <v>0</v>
      </c>
      <c r="O38" s="2" t="s">
        <v>210</v>
      </c>
      <c r="P38" s="2" t="s">
        <v>210</v>
      </c>
      <c r="Q38" s="2">
        <v>5</v>
      </c>
      <c r="R38" s="2">
        <f>2*20^2*PI()/4</f>
        <v>628.31853071795865</v>
      </c>
      <c r="S38" s="2">
        <f>R38/E38/H38*100</f>
        <v>1.5866629563584815</v>
      </c>
      <c r="T38" s="2">
        <v>575</v>
      </c>
      <c r="U38" s="2" t="s">
        <v>210</v>
      </c>
      <c r="V38" s="2" t="s">
        <v>210</v>
      </c>
      <c r="W38" s="2">
        <v>0</v>
      </c>
      <c r="X38" s="2">
        <v>0</v>
      </c>
      <c r="Y38" s="2">
        <v>0</v>
      </c>
      <c r="Z38" s="2" t="s">
        <v>210</v>
      </c>
      <c r="AA38" s="2" t="s">
        <v>210</v>
      </c>
      <c r="AB38" s="2">
        <v>5</v>
      </c>
      <c r="AC38" s="2">
        <v>1</v>
      </c>
      <c r="AD38" s="2">
        <v>90</v>
      </c>
      <c r="AE38" s="2">
        <f>81*14/(14+8)</f>
        <v>51.545454545454547</v>
      </c>
    </row>
    <row r="39" spans="1:31" s="4" customFormat="1" x14ac:dyDescent="0.3">
      <c r="A39" s="2" t="s">
        <v>193</v>
      </c>
      <c r="B39" s="2"/>
      <c r="C39" s="2" t="s">
        <v>257</v>
      </c>
      <c r="D39" s="2">
        <v>32.700000000000003</v>
      </c>
      <c r="E39" s="2">
        <v>264</v>
      </c>
      <c r="F39" s="2">
        <v>300</v>
      </c>
      <c r="G39" s="2">
        <v>0</v>
      </c>
      <c r="H39" s="2">
        <v>150</v>
      </c>
      <c r="I39" s="2">
        <f t="shared" si="9"/>
        <v>150</v>
      </c>
      <c r="J39" s="2">
        <f t="shared" si="22"/>
        <v>3.4090909090909092</v>
      </c>
      <c r="K39" s="2" t="s">
        <v>210</v>
      </c>
      <c r="L39" s="2" t="s">
        <v>210</v>
      </c>
      <c r="M39" s="2" t="s">
        <v>210</v>
      </c>
      <c r="N39" s="2">
        <v>0</v>
      </c>
      <c r="O39" s="2" t="s">
        <v>210</v>
      </c>
      <c r="P39" s="2" t="s">
        <v>210</v>
      </c>
      <c r="Q39" s="2">
        <v>5</v>
      </c>
      <c r="R39" s="2">
        <f>2*20^2*PI()/4</f>
        <v>628.31853071795865</v>
      </c>
      <c r="S39" s="2">
        <f>R39/E39/H39*100</f>
        <v>1.5866629563584815</v>
      </c>
      <c r="T39" s="2">
        <v>575</v>
      </c>
      <c r="U39" s="2">
        <v>2620</v>
      </c>
      <c r="V39" s="2">
        <v>150</v>
      </c>
      <c r="W39" s="2">
        <f>AA39*2</f>
        <v>28</v>
      </c>
      <c r="X39" s="2">
        <f>W39/Z39/H39*100/SIN(AD39*PI()/180)</f>
        <v>0.1037037037037037</v>
      </c>
      <c r="Y39" s="2">
        <f>W39*V39*1000</f>
        <v>4200000</v>
      </c>
      <c r="Z39" s="2">
        <v>180</v>
      </c>
      <c r="AA39" s="2">
        <f>1.4*10</f>
        <v>14</v>
      </c>
      <c r="AB39" s="2">
        <f>Z39/E39</f>
        <v>0.68181818181818177</v>
      </c>
      <c r="AC39" s="2">
        <f>10/1.4</f>
        <v>7.1428571428571432</v>
      </c>
      <c r="AD39" s="2">
        <v>90</v>
      </c>
      <c r="AE39" s="2">
        <f>143*14/(14+8)</f>
        <v>91</v>
      </c>
    </row>
    <row r="40" spans="1:31" x14ac:dyDescent="0.3">
      <c r="A40" s="2" t="s">
        <v>193</v>
      </c>
      <c r="B40" s="2"/>
      <c r="C40" s="2" t="s">
        <v>261</v>
      </c>
      <c r="D40" s="2">
        <v>32.700000000000003</v>
      </c>
      <c r="E40" s="2">
        <v>264</v>
      </c>
      <c r="F40" s="2">
        <v>300</v>
      </c>
      <c r="G40" s="2">
        <v>0</v>
      </c>
      <c r="H40" s="2">
        <v>150</v>
      </c>
      <c r="I40" s="2">
        <f t="shared" si="9"/>
        <v>150</v>
      </c>
      <c r="J40" s="2">
        <f t="shared" si="22"/>
        <v>3.4090909090909092</v>
      </c>
      <c r="K40" s="2">
        <v>500</v>
      </c>
      <c r="L40" s="2">
        <f>2*PI()*6^2/4</f>
        <v>56.548667764616276</v>
      </c>
      <c r="M40" s="2">
        <f>L40/O40/H40*100</f>
        <v>0.33362045878829666</v>
      </c>
      <c r="N40" s="2">
        <f>L40*K40</f>
        <v>28274.333882308139</v>
      </c>
      <c r="O40" s="2">
        <v>113</v>
      </c>
      <c r="P40" s="2">
        <f>IF(O40="-","-",O40/E40)</f>
        <v>0.42803030303030304</v>
      </c>
      <c r="Q40" s="2">
        <f>IF(O40="-",0,O40/E40)</f>
        <v>0.42803030303030304</v>
      </c>
      <c r="R40" s="2">
        <f>2*20^2*PI()/4</f>
        <v>628.31853071795865</v>
      </c>
      <c r="S40" s="2">
        <f>R40/E40/H40*100</f>
        <v>1.5866629563584815</v>
      </c>
      <c r="T40" s="2">
        <v>575</v>
      </c>
      <c r="U40" s="2" t="s">
        <v>210</v>
      </c>
      <c r="V40" s="2" t="s">
        <v>210</v>
      </c>
      <c r="W40" s="2">
        <v>0</v>
      </c>
      <c r="X40" s="2">
        <v>0</v>
      </c>
      <c r="Y40" s="2">
        <v>0</v>
      </c>
      <c r="Z40" s="2" t="s">
        <v>210</v>
      </c>
      <c r="AA40" s="2" t="s">
        <v>210</v>
      </c>
      <c r="AB40" s="2">
        <v>5</v>
      </c>
      <c r="AC40" s="2">
        <v>1</v>
      </c>
      <c r="AD40" s="2">
        <v>90</v>
      </c>
      <c r="AE40" s="2">
        <f>182*14/(14+8)</f>
        <v>115.81818181818181</v>
      </c>
    </row>
    <row r="41" spans="1:31" x14ac:dyDescent="0.3">
      <c r="A41" s="2" t="s">
        <v>193</v>
      </c>
      <c r="B41" s="2"/>
      <c r="C41" s="2" t="s">
        <v>258</v>
      </c>
      <c r="D41" s="2">
        <v>32.700000000000003</v>
      </c>
      <c r="E41" s="2">
        <v>360</v>
      </c>
      <c r="F41" s="2">
        <v>400</v>
      </c>
      <c r="G41" s="2">
        <v>100</v>
      </c>
      <c r="H41" s="2">
        <v>180</v>
      </c>
      <c r="I41" s="2">
        <v>450</v>
      </c>
      <c r="J41" s="2">
        <f t="shared" si="22"/>
        <v>2.5</v>
      </c>
      <c r="K41" s="2" t="s">
        <v>210</v>
      </c>
      <c r="L41" s="2" t="s">
        <v>210</v>
      </c>
      <c r="M41" s="2" t="s">
        <v>210</v>
      </c>
      <c r="N41" s="2">
        <v>0</v>
      </c>
      <c r="O41" s="2" t="s">
        <v>210</v>
      </c>
      <c r="P41" s="2" t="s">
        <v>210</v>
      </c>
      <c r="Q41" s="2">
        <v>5</v>
      </c>
      <c r="R41" s="2">
        <f>(16^2+2*32^2)*PI()/4</f>
        <v>1809.5573684677208</v>
      </c>
      <c r="S41" s="2">
        <f>R41/E41/H41*100</f>
        <v>2.7925268031909272</v>
      </c>
      <c r="T41" s="2">
        <f>625</f>
        <v>625</v>
      </c>
      <c r="U41" s="2" t="s">
        <v>210</v>
      </c>
      <c r="V41" s="2" t="s">
        <v>210</v>
      </c>
      <c r="W41" s="2">
        <v>0</v>
      </c>
      <c r="X41" s="2">
        <v>0</v>
      </c>
      <c r="Y41" s="2">
        <v>0</v>
      </c>
      <c r="Z41" s="2" t="s">
        <v>210</v>
      </c>
      <c r="AA41" s="2" t="s">
        <v>210</v>
      </c>
      <c r="AB41" s="2">
        <v>5</v>
      </c>
      <c r="AC41" s="2">
        <v>1</v>
      </c>
      <c r="AD41" s="2">
        <v>90</v>
      </c>
      <c r="AE41" s="2">
        <f>214*13.5/(13.5+9)</f>
        <v>128.4</v>
      </c>
    </row>
    <row r="42" spans="1:31" s="4" customFormat="1" x14ac:dyDescent="0.3">
      <c r="A42" s="2" t="s">
        <v>193</v>
      </c>
      <c r="B42" s="2"/>
      <c r="C42" s="2" t="s">
        <v>260</v>
      </c>
      <c r="D42" s="2">
        <v>32.700000000000003</v>
      </c>
      <c r="E42" s="2">
        <v>360</v>
      </c>
      <c r="F42" s="2">
        <v>400</v>
      </c>
      <c r="G42" s="2">
        <v>100</v>
      </c>
      <c r="H42" s="2">
        <v>180</v>
      </c>
      <c r="I42" s="2">
        <v>450</v>
      </c>
      <c r="J42" s="2">
        <f t="shared" si="22"/>
        <v>2.5</v>
      </c>
      <c r="K42" s="2" t="s">
        <v>210</v>
      </c>
      <c r="L42" s="2" t="s">
        <v>210</v>
      </c>
      <c r="M42" s="2" t="s">
        <v>210</v>
      </c>
      <c r="N42" s="2">
        <v>0</v>
      </c>
      <c r="O42" s="2" t="s">
        <v>210</v>
      </c>
      <c r="P42" s="2" t="s">
        <v>210</v>
      </c>
      <c r="Q42" s="2">
        <v>5</v>
      </c>
      <c r="R42" s="2">
        <f>(16^2+2*32^2)*PI()/4</f>
        <v>1809.5573684677208</v>
      </c>
      <c r="S42" s="2">
        <f>R42/E42/H42*100</f>
        <v>2.7925268031909272</v>
      </c>
      <c r="T42" s="2">
        <f>625</f>
        <v>625</v>
      </c>
      <c r="U42" s="2">
        <v>2620</v>
      </c>
      <c r="V42" s="2">
        <v>150</v>
      </c>
      <c r="W42" s="2">
        <f>AA42*2</f>
        <v>28</v>
      </c>
      <c r="X42" s="2">
        <f>W42/Z42/H42*100/SIN(AD42*PI()/180)</f>
        <v>7.9995918679690234E-2</v>
      </c>
      <c r="Y42" s="2">
        <f>W42*V42*1000</f>
        <v>4200000</v>
      </c>
      <c r="Z42" s="2">
        <v>275</v>
      </c>
      <c r="AA42" s="2">
        <f>1.4*10</f>
        <v>14</v>
      </c>
      <c r="AB42" s="2">
        <f>Z42/E42</f>
        <v>0.76388888888888884</v>
      </c>
      <c r="AC42" s="2">
        <f>10/1.4</f>
        <v>7.1428571428571432</v>
      </c>
      <c r="AD42" s="2">
        <v>45</v>
      </c>
      <c r="AE42" s="2">
        <f>290*13.5/(13.5+9)</f>
        <v>174</v>
      </c>
    </row>
    <row r="43" spans="1:31" x14ac:dyDescent="0.3">
      <c r="A43" s="2" t="s">
        <v>193</v>
      </c>
      <c r="B43" s="2"/>
      <c r="C43" s="2" t="s">
        <v>259</v>
      </c>
      <c r="D43" s="2">
        <v>32.700000000000003</v>
      </c>
      <c r="E43" s="2">
        <v>360</v>
      </c>
      <c r="F43" s="2">
        <v>400</v>
      </c>
      <c r="G43" s="2">
        <v>100</v>
      </c>
      <c r="H43" s="2">
        <v>180</v>
      </c>
      <c r="I43" s="2">
        <v>450</v>
      </c>
      <c r="J43" s="2">
        <f t="shared" si="22"/>
        <v>2.5</v>
      </c>
      <c r="K43" s="2">
        <v>500</v>
      </c>
      <c r="L43" s="2">
        <f>2*PI()*6^2/4</f>
        <v>56.548667764616276</v>
      </c>
      <c r="M43" s="2">
        <f>L43/O43/H43*100</f>
        <v>0.27801704899024721</v>
      </c>
      <c r="N43" s="2">
        <f>L43*K43</f>
        <v>28274.333882308139</v>
      </c>
      <c r="O43" s="2">
        <v>113</v>
      </c>
      <c r="P43" s="2">
        <f>IF(O43="-","-",O43/E43)</f>
        <v>0.31388888888888888</v>
      </c>
      <c r="Q43" s="2">
        <f>IF(O43="-",0,O43/E43)</f>
        <v>0.31388888888888888</v>
      </c>
      <c r="R43" s="2">
        <f>(16^2+2*32^2)*PI()/4</f>
        <v>1809.5573684677208</v>
      </c>
      <c r="S43" s="2">
        <f>R43/E43/H43*100</f>
        <v>2.7925268031909272</v>
      </c>
      <c r="T43" s="2">
        <f>625</f>
        <v>625</v>
      </c>
      <c r="U43" s="2" t="s">
        <v>210</v>
      </c>
      <c r="V43" s="2" t="s">
        <v>210</v>
      </c>
      <c r="W43" s="2">
        <v>0</v>
      </c>
      <c r="X43" s="2">
        <v>0</v>
      </c>
      <c r="Y43" s="2">
        <v>0</v>
      </c>
      <c r="Z43" s="2" t="s">
        <v>210</v>
      </c>
      <c r="AA43" s="2" t="s">
        <v>210</v>
      </c>
      <c r="AB43" s="2">
        <v>5</v>
      </c>
      <c r="AC43" s="2">
        <v>1</v>
      </c>
      <c r="AD43" s="2">
        <v>90</v>
      </c>
      <c r="AE43" s="2">
        <f>530*13.5/(13.5+9)</f>
        <v>318</v>
      </c>
    </row>
    <row r="44" spans="1:31" x14ac:dyDescent="0.3">
      <c r="A44" s="2" t="s">
        <v>308</v>
      </c>
      <c r="B44" s="2"/>
      <c r="C44" s="2" t="s">
        <v>11</v>
      </c>
      <c r="D44" s="2">
        <v>49.2</v>
      </c>
      <c r="E44" s="2">
        <f>F44-15-10/2</f>
        <v>280</v>
      </c>
      <c r="F44" s="2">
        <v>300</v>
      </c>
      <c r="G44" s="2">
        <v>0</v>
      </c>
      <c r="H44" s="2">
        <v>150</v>
      </c>
      <c r="I44" s="2">
        <v>150</v>
      </c>
      <c r="J44" s="2">
        <f t="shared" ref="J44:J51" si="23">600/E44</f>
        <v>2.1428571428571428</v>
      </c>
      <c r="K44" s="2" t="s">
        <v>210</v>
      </c>
      <c r="L44" s="2" t="s">
        <v>210</v>
      </c>
      <c r="M44" s="2" t="s">
        <v>210</v>
      </c>
      <c r="N44" s="2">
        <v>0</v>
      </c>
      <c r="O44" s="2" t="s">
        <v>210</v>
      </c>
      <c r="P44" s="2" t="s">
        <v>210</v>
      </c>
      <c r="Q44" s="2">
        <v>5</v>
      </c>
      <c r="R44" s="2">
        <f>4*PI()*10^2/4</f>
        <v>314.15926535897933</v>
      </c>
      <c r="S44" s="2">
        <f>R44/E44/H44*100</f>
        <v>0.74799825085471272</v>
      </c>
      <c r="T44" s="2">
        <v>464</v>
      </c>
      <c r="U44" s="2" t="s">
        <v>210</v>
      </c>
      <c r="V44" s="2" t="s">
        <v>210</v>
      </c>
      <c r="W44" s="2">
        <v>0</v>
      </c>
      <c r="X44" s="2">
        <v>0</v>
      </c>
      <c r="Y44" s="2">
        <v>0</v>
      </c>
      <c r="Z44" s="2" t="s">
        <v>210</v>
      </c>
      <c r="AA44" s="2" t="s">
        <v>210</v>
      </c>
      <c r="AB44" s="2">
        <v>5</v>
      </c>
      <c r="AC44" s="2">
        <v>1</v>
      </c>
      <c r="AD44" s="2">
        <v>90</v>
      </c>
      <c r="AE44" s="2">
        <v>100.4</v>
      </c>
    </row>
    <row r="45" spans="1:31" x14ac:dyDescent="0.3">
      <c r="A45" s="2" t="s">
        <v>308</v>
      </c>
      <c r="B45" s="2"/>
      <c r="C45" s="2" t="s">
        <v>12</v>
      </c>
      <c r="D45" s="2">
        <v>49.2</v>
      </c>
      <c r="E45" s="2">
        <f>F45-15-10/2-6</f>
        <v>274</v>
      </c>
      <c r="F45" s="2">
        <v>300</v>
      </c>
      <c r="G45" s="2">
        <v>0</v>
      </c>
      <c r="H45" s="2">
        <v>150</v>
      </c>
      <c r="I45" s="2">
        <v>150</v>
      </c>
      <c r="J45" s="2">
        <f t="shared" si="23"/>
        <v>2.1897810218978102</v>
      </c>
      <c r="K45" s="2">
        <v>540</v>
      </c>
      <c r="L45" s="2">
        <f>2*PI()*6^2/4</f>
        <v>56.548667764616276</v>
      </c>
      <c r="M45" s="2">
        <f>L45/O45/H45*100</f>
        <v>0.12566370614359174</v>
      </c>
      <c r="N45" s="2">
        <v>30600</v>
      </c>
      <c r="O45" s="2">
        <v>300</v>
      </c>
      <c r="P45" s="2">
        <f>IF(O45="-","-",IF(N45=0,"-",O45/E45))</f>
        <v>1.0948905109489051</v>
      </c>
      <c r="Q45" s="2">
        <v>1.07</v>
      </c>
      <c r="R45" s="2">
        <f>4*PI()*10^2/4</f>
        <v>314.15926535897933</v>
      </c>
      <c r="S45" s="2">
        <f>R45/E45/H45*100</f>
        <v>0.76437777459605671</v>
      </c>
      <c r="T45" s="2">
        <v>464</v>
      </c>
      <c r="U45" s="2" t="s">
        <v>210</v>
      </c>
      <c r="V45" s="2" t="s">
        <v>210</v>
      </c>
      <c r="W45" s="2">
        <v>0</v>
      </c>
      <c r="X45" s="2">
        <v>0</v>
      </c>
      <c r="Y45" s="2">
        <v>0</v>
      </c>
      <c r="Z45" s="2" t="s">
        <v>210</v>
      </c>
      <c r="AA45" s="2" t="s">
        <v>210</v>
      </c>
      <c r="AB45" s="2">
        <v>5</v>
      </c>
      <c r="AC45" s="2">
        <v>1</v>
      </c>
      <c r="AD45" s="2">
        <v>90</v>
      </c>
      <c r="AE45" s="2">
        <v>169.35</v>
      </c>
    </row>
    <row r="46" spans="1:31" x14ac:dyDescent="0.3">
      <c r="A46" s="2" t="s">
        <v>234</v>
      </c>
      <c r="B46" s="2" t="s">
        <v>98</v>
      </c>
      <c r="C46" s="2" t="s">
        <v>211</v>
      </c>
      <c r="D46" s="2">
        <v>49.2</v>
      </c>
      <c r="E46" s="2">
        <f>F46-15-10/2</f>
        <v>280</v>
      </c>
      <c r="F46" s="2">
        <v>300</v>
      </c>
      <c r="G46" s="2">
        <f>IF(B46="T","",0)</f>
        <v>0</v>
      </c>
      <c r="H46" s="2">
        <v>150</v>
      </c>
      <c r="I46" s="2">
        <f>IF(G46=0,H46,"")</f>
        <v>150</v>
      </c>
      <c r="J46" s="2">
        <f t="shared" si="23"/>
        <v>2.1428571428571428</v>
      </c>
      <c r="K46" s="2" t="s">
        <v>210</v>
      </c>
      <c r="L46" s="2" t="s">
        <v>210</v>
      </c>
      <c r="M46" s="2" t="s">
        <v>210</v>
      </c>
      <c r="N46" s="2">
        <v>0</v>
      </c>
      <c r="O46" s="2" t="s">
        <v>210</v>
      </c>
      <c r="P46" s="2" t="s">
        <v>210</v>
      </c>
      <c r="Q46" s="2">
        <v>5</v>
      </c>
      <c r="R46" s="2">
        <f>4*PI()*10^2/4</f>
        <v>314.15926535897933</v>
      </c>
      <c r="S46" s="2">
        <f>R46/E46/H46*100</f>
        <v>0.74799825085471272</v>
      </c>
      <c r="T46" s="2">
        <v>464</v>
      </c>
      <c r="U46" s="2">
        <v>3000</v>
      </c>
      <c r="V46" s="2">
        <v>190</v>
      </c>
      <c r="W46" s="2">
        <f>AA46*2</f>
        <v>16.7</v>
      </c>
      <c r="X46" s="2">
        <f>W46/Z46/H46*100/SIN(AD46*PI()/180)</f>
        <v>5.8596491228070174E-2</v>
      </c>
      <c r="Y46" s="2">
        <f>W46*V46*1000</f>
        <v>3173000</v>
      </c>
      <c r="Z46" s="2">
        <v>190</v>
      </c>
      <c r="AA46" s="2">
        <f>2*0.167*25</f>
        <v>8.35</v>
      </c>
      <c r="AB46" s="2">
        <f>Z46/E46</f>
        <v>0.6785714285714286</v>
      </c>
      <c r="AC46" s="2">
        <v>1</v>
      </c>
      <c r="AD46" s="2">
        <v>90</v>
      </c>
      <c r="AE46" s="2">
        <v>122.06</v>
      </c>
    </row>
    <row r="47" spans="1:31" x14ac:dyDescent="0.3">
      <c r="A47" s="2" t="s">
        <v>308</v>
      </c>
      <c r="B47" s="2"/>
      <c r="C47" s="2" t="s">
        <v>15</v>
      </c>
      <c r="D47" s="2">
        <v>49.2</v>
      </c>
      <c r="E47" s="2">
        <f>F47-15-10/2</f>
        <v>280</v>
      </c>
      <c r="F47" s="2">
        <v>300</v>
      </c>
      <c r="G47" s="2">
        <v>0</v>
      </c>
      <c r="H47" s="2">
        <v>150</v>
      </c>
      <c r="I47" s="2">
        <v>150</v>
      </c>
      <c r="J47" s="2">
        <f t="shared" si="23"/>
        <v>2.1428571428571428</v>
      </c>
      <c r="K47" s="2" t="s">
        <v>210</v>
      </c>
      <c r="L47" s="2" t="s">
        <v>210</v>
      </c>
      <c r="M47" s="2" t="s">
        <v>210</v>
      </c>
      <c r="N47" s="2">
        <v>0</v>
      </c>
      <c r="O47" s="2" t="s">
        <v>210</v>
      </c>
      <c r="P47" s="2" t="s">
        <v>210</v>
      </c>
      <c r="Q47" s="2">
        <v>5</v>
      </c>
      <c r="R47" s="2">
        <f>4*PI()*10^2/4</f>
        <v>314.15926535897933</v>
      </c>
      <c r="S47" s="2">
        <f>R47/E47/H47*100</f>
        <v>0.74799825085471272</v>
      </c>
      <c r="T47" s="2">
        <v>464</v>
      </c>
      <c r="U47" s="2">
        <v>2286</v>
      </c>
      <c r="V47" s="2">
        <v>166</v>
      </c>
      <c r="W47" s="2">
        <f>AA47*2</f>
        <v>28</v>
      </c>
      <c r="X47" s="2">
        <f>W47/Z47/H47*100/SIN(AD47*PI()/180)</f>
        <v>9.3333333333333338E-2</v>
      </c>
      <c r="Y47" s="2">
        <f>W47*V47*1000</f>
        <v>4648000</v>
      </c>
      <c r="Z47" s="2">
        <v>200</v>
      </c>
      <c r="AA47" s="2">
        <f>10*1.4</f>
        <v>14</v>
      </c>
      <c r="AB47" s="2">
        <f>Z47/E47</f>
        <v>0.7142857142857143</v>
      </c>
      <c r="AC47" s="2">
        <v>7.1</v>
      </c>
      <c r="AD47" s="2">
        <v>90</v>
      </c>
      <c r="AE47" s="2">
        <v>158.63999999999999</v>
      </c>
    </row>
    <row r="48" spans="1:31" x14ac:dyDescent="0.3">
      <c r="A48" s="2" t="s">
        <v>83</v>
      </c>
      <c r="B48" s="2" t="s">
        <v>98</v>
      </c>
      <c r="C48" s="2" t="s">
        <v>99</v>
      </c>
      <c r="D48" s="2">
        <v>49.2</v>
      </c>
      <c r="E48" s="2">
        <f>F48-15-10/2</f>
        <v>280</v>
      </c>
      <c r="F48" s="2">
        <v>300</v>
      </c>
      <c r="G48" s="2">
        <v>0</v>
      </c>
      <c r="H48" s="2">
        <v>150</v>
      </c>
      <c r="I48" s="2">
        <f>IF(G48=0,H48,"")</f>
        <v>150</v>
      </c>
      <c r="J48" s="2">
        <f t="shared" si="23"/>
        <v>2.1428571428571428</v>
      </c>
      <c r="K48" s="2" t="s">
        <v>210</v>
      </c>
      <c r="L48" s="2" t="s">
        <v>210</v>
      </c>
      <c r="M48" s="2" t="s">
        <v>210</v>
      </c>
      <c r="N48" s="2">
        <v>0</v>
      </c>
      <c r="O48" s="2" t="s">
        <v>210</v>
      </c>
      <c r="P48" s="2" t="s">
        <v>210</v>
      </c>
      <c r="Q48" s="2">
        <v>5</v>
      </c>
      <c r="R48" s="2">
        <f>4*PI()*10^2/4</f>
        <v>314.15926535897933</v>
      </c>
      <c r="S48" s="2">
        <f>R48/E48/H48*100</f>
        <v>0.74799825085471272</v>
      </c>
      <c r="T48" s="2">
        <v>464</v>
      </c>
      <c r="U48" s="2">
        <v>2286</v>
      </c>
      <c r="V48" s="2">
        <v>166</v>
      </c>
      <c r="W48" s="2">
        <f>AA48*2</f>
        <v>28</v>
      </c>
      <c r="X48" s="2">
        <f>W48/Z48/H48*100/SIN(AD48*PI()/180)</f>
        <v>8.7995510547659264E-2</v>
      </c>
      <c r="Y48" s="2">
        <f>W48*V48*1000</f>
        <v>4648000</v>
      </c>
      <c r="Z48" s="2">
        <v>300</v>
      </c>
      <c r="AA48" s="2">
        <f>10*1.4</f>
        <v>14</v>
      </c>
      <c r="AB48" s="2">
        <f>Z48/E48</f>
        <v>1.0714285714285714</v>
      </c>
      <c r="AC48" s="2">
        <v>7.1</v>
      </c>
      <c r="AD48" s="2">
        <v>45</v>
      </c>
      <c r="AE48" s="2">
        <v>157.9</v>
      </c>
    </row>
    <row r="49" spans="1:31" x14ac:dyDescent="0.3">
      <c r="A49" s="2" t="s">
        <v>308</v>
      </c>
      <c r="B49" s="2"/>
      <c r="C49" s="2" t="s">
        <v>13</v>
      </c>
      <c r="D49" s="2">
        <v>49.2</v>
      </c>
      <c r="E49" s="2">
        <f>F49-15-12/2</f>
        <v>279</v>
      </c>
      <c r="F49" s="2">
        <v>300</v>
      </c>
      <c r="G49" s="2">
        <v>0</v>
      </c>
      <c r="H49" s="2">
        <v>150</v>
      </c>
      <c r="I49" s="2">
        <v>150</v>
      </c>
      <c r="J49" s="2">
        <f t="shared" si="23"/>
        <v>2.150537634408602</v>
      </c>
      <c r="K49" s="2" t="s">
        <v>210</v>
      </c>
      <c r="L49" s="2" t="s">
        <v>210</v>
      </c>
      <c r="M49" s="2" t="s">
        <v>210</v>
      </c>
      <c r="N49" s="2">
        <v>0</v>
      </c>
      <c r="O49" s="2" t="s">
        <v>210</v>
      </c>
      <c r="P49" s="2" t="s">
        <v>210</v>
      </c>
      <c r="Q49" s="2">
        <v>5</v>
      </c>
      <c r="R49" s="2">
        <f>4*PI()*12^2/4</f>
        <v>452.38934211693021</v>
      </c>
      <c r="S49" s="2">
        <f>R49/E49/H49*100</f>
        <v>1.0809781173642299</v>
      </c>
      <c r="T49" s="2">
        <v>574</v>
      </c>
      <c r="U49" s="2" t="s">
        <v>210</v>
      </c>
      <c r="V49" s="2" t="s">
        <v>210</v>
      </c>
      <c r="W49" s="2">
        <v>0</v>
      </c>
      <c r="X49" s="2">
        <v>0</v>
      </c>
      <c r="Y49" s="2">
        <v>0</v>
      </c>
      <c r="Z49" s="2" t="s">
        <v>210</v>
      </c>
      <c r="AA49" s="2" t="s">
        <v>210</v>
      </c>
      <c r="AB49" s="2">
        <v>5</v>
      </c>
      <c r="AC49" s="2">
        <v>1</v>
      </c>
      <c r="AD49" s="2">
        <v>90</v>
      </c>
      <c r="AE49" s="2">
        <v>116.5</v>
      </c>
    </row>
    <row r="50" spans="1:31" x14ac:dyDescent="0.3">
      <c r="A50" s="2" t="s">
        <v>308</v>
      </c>
      <c r="B50" s="2"/>
      <c r="C50" s="2" t="s">
        <v>14</v>
      </c>
      <c r="D50" s="2">
        <v>49.2</v>
      </c>
      <c r="E50" s="2">
        <f>F50-15-12/2-6</f>
        <v>273</v>
      </c>
      <c r="F50" s="2">
        <v>300</v>
      </c>
      <c r="G50" s="2">
        <v>0</v>
      </c>
      <c r="H50" s="2">
        <v>150</v>
      </c>
      <c r="I50" s="2">
        <v>150</v>
      </c>
      <c r="J50" s="2">
        <f t="shared" si="23"/>
        <v>2.197802197802198</v>
      </c>
      <c r="K50" s="2">
        <v>540</v>
      </c>
      <c r="L50" s="2">
        <f>2*PI()*6^2/4</f>
        <v>56.548667764616276</v>
      </c>
      <c r="M50" s="2">
        <f>L50/O50/H50*100</f>
        <v>0.25132741228718347</v>
      </c>
      <c r="N50" s="2">
        <f>L50*K50</f>
        <v>30536.280592892788</v>
      </c>
      <c r="O50" s="2">
        <v>150</v>
      </c>
      <c r="P50" s="2">
        <f>IF(O50="-","-",IF(N50=0,"-",O50/E50))</f>
        <v>0.5494505494505495</v>
      </c>
      <c r="Q50" s="2">
        <v>0.54</v>
      </c>
      <c r="R50" s="2">
        <f>4*PI()*12^2/4</f>
        <v>452.38934211693021</v>
      </c>
      <c r="S50" s="2">
        <f>R50/E50/H50*100</f>
        <v>1.104735878185422</v>
      </c>
      <c r="T50" s="2">
        <v>574</v>
      </c>
      <c r="U50" s="2" t="s">
        <v>210</v>
      </c>
      <c r="V50" s="2" t="s">
        <v>210</v>
      </c>
      <c r="W50" s="2">
        <v>0</v>
      </c>
      <c r="X50" s="2">
        <v>0</v>
      </c>
      <c r="Y50" s="2">
        <v>0</v>
      </c>
      <c r="Z50" s="2" t="s">
        <v>210</v>
      </c>
      <c r="AA50" s="2" t="s">
        <v>210</v>
      </c>
      <c r="AB50" s="2">
        <v>5</v>
      </c>
      <c r="AC50" s="2">
        <v>1</v>
      </c>
      <c r="AD50" s="2">
        <v>90</v>
      </c>
      <c r="AE50" s="2">
        <v>215.04</v>
      </c>
    </row>
    <row r="51" spans="1:31" x14ac:dyDescent="0.3">
      <c r="A51" s="2" t="s">
        <v>234</v>
      </c>
      <c r="B51" s="2" t="s">
        <v>98</v>
      </c>
      <c r="C51" s="2" t="s">
        <v>212</v>
      </c>
      <c r="D51" s="2">
        <v>49.2</v>
      </c>
      <c r="E51" s="2">
        <f>F51-15-12/2</f>
        <v>279</v>
      </c>
      <c r="F51" s="2">
        <v>300</v>
      </c>
      <c r="G51" s="2">
        <f>IF(B51="T","",0)</f>
        <v>0</v>
      </c>
      <c r="H51" s="2">
        <v>150</v>
      </c>
      <c r="I51" s="2">
        <f>IF(G51=0,H51,"")</f>
        <v>150</v>
      </c>
      <c r="J51" s="2">
        <f t="shared" si="23"/>
        <v>2.150537634408602</v>
      </c>
      <c r="K51" s="2" t="s">
        <v>210</v>
      </c>
      <c r="L51" s="2" t="s">
        <v>210</v>
      </c>
      <c r="M51" s="2" t="s">
        <v>210</v>
      </c>
      <c r="N51" s="2">
        <v>0</v>
      </c>
      <c r="O51" s="2" t="s">
        <v>210</v>
      </c>
      <c r="P51" s="2" t="s">
        <v>210</v>
      </c>
      <c r="Q51" s="2">
        <v>5</v>
      </c>
      <c r="R51" s="2">
        <f>4*PI()*12^2/4</f>
        <v>452.38934211693021</v>
      </c>
      <c r="S51" s="2">
        <f>R51/E51/H51*100</f>
        <v>1.0809781173642299</v>
      </c>
      <c r="T51" s="2">
        <v>574</v>
      </c>
      <c r="U51" s="2">
        <v>3000</v>
      </c>
      <c r="V51" s="2">
        <v>190</v>
      </c>
      <c r="W51" s="2">
        <f>AA51*2</f>
        <v>16.7</v>
      </c>
      <c r="X51" s="2">
        <f>W51/Z51/H51*100/SIN(AD51*PI()/180)</f>
        <v>0.11719298245614035</v>
      </c>
      <c r="Y51" s="2">
        <f>W51*V51*1000</f>
        <v>3173000</v>
      </c>
      <c r="Z51" s="2">
        <v>95</v>
      </c>
      <c r="AA51" s="2">
        <f>2*0.167*25</f>
        <v>8.35</v>
      </c>
      <c r="AB51" s="2">
        <f>Z51/E51</f>
        <v>0.34050179211469533</v>
      </c>
      <c r="AC51" s="2">
        <v>1</v>
      </c>
      <c r="AD51" s="2">
        <v>90</v>
      </c>
      <c r="AE51" s="2">
        <v>179.54</v>
      </c>
    </row>
    <row r="52" spans="1:31" x14ac:dyDescent="0.3">
      <c r="A52" s="2" t="s">
        <v>308</v>
      </c>
      <c r="B52" s="2"/>
      <c r="C52" s="2" t="s">
        <v>10</v>
      </c>
      <c r="D52" s="2">
        <v>31</v>
      </c>
      <c r="E52" s="2">
        <v>355</v>
      </c>
      <c r="F52" s="2">
        <v>406</v>
      </c>
      <c r="G52" s="2">
        <v>102</v>
      </c>
      <c r="H52" s="2">
        <v>152</v>
      </c>
      <c r="I52" s="2">
        <v>381</v>
      </c>
      <c r="J52" s="2">
        <v>3</v>
      </c>
      <c r="K52" s="2" t="s">
        <v>210</v>
      </c>
      <c r="L52" s="2" t="s">
        <v>210</v>
      </c>
      <c r="M52" s="2" t="s">
        <v>210</v>
      </c>
      <c r="N52" s="2">
        <v>0</v>
      </c>
      <c r="O52" s="2" t="s">
        <v>210</v>
      </c>
      <c r="P52" s="2" t="s">
        <v>210</v>
      </c>
      <c r="Q52" s="2">
        <v>5</v>
      </c>
      <c r="R52" s="2">
        <v>1294</v>
      </c>
      <c r="S52" s="2">
        <f>R52/E52/H52*100</f>
        <v>2.3980726464047444</v>
      </c>
      <c r="T52" s="2">
        <v>414</v>
      </c>
      <c r="U52" s="2">
        <v>1875</v>
      </c>
      <c r="V52" s="2">
        <v>104.8</v>
      </c>
      <c r="W52" s="2">
        <f>Z52*SIN(AD52*PI()/180)*X52*H52/100</f>
        <v>140.69120000000001</v>
      </c>
      <c r="X52" s="2">
        <v>0.52</v>
      </c>
      <c r="Y52" s="2">
        <v>14800000</v>
      </c>
      <c r="Z52" s="2">
        <v>178</v>
      </c>
      <c r="AA52" s="2" t="s">
        <v>96</v>
      </c>
      <c r="AB52" s="2">
        <v>0.5</v>
      </c>
      <c r="AC52" s="2">
        <v>1</v>
      </c>
      <c r="AD52" s="2">
        <v>90</v>
      </c>
      <c r="AE52" s="2">
        <v>115.2</v>
      </c>
    </row>
    <row r="53" spans="1:31" x14ac:dyDescent="0.3">
      <c r="A53" s="2" t="s">
        <v>92</v>
      </c>
      <c r="B53" s="2"/>
      <c r="C53" s="2" t="s">
        <v>262</v>
      </c>
      <c r="D53" s="2">
        <v>36.4</v>
      </c>
      <c r="E53" s="2">
        <v>558</v>
      </c>
      <c r="F53" s="2">
        <v>600</v>
      </c>
      <c r="G53" s="2">
        <v>100</v>
      </c>
      <c r="H53" s="2">
        <v>180</v>
      </c>
      <c r="I53" s="2">
        <v>450</v>
      </c>
      <c r="J53" s="2">
        <v>2.5</v>
      </c>
      <c r="K53" s="2">
        <v>565</v>
      </c>
      <c r="L53" s="2">
        <f>2*PI()*6^2/4</f>
        <v>56.548667764616276</v>
      </c>
      <c r="M53" s="2">
        <f>L53/O53/H53*100</f>
        <v>8.9759790102565518E-2</v>
      </c>
      <c r="N53" s="2">
        <f>L53*K53</f>
        <v>31949.997287008195</v>
      </c>
      <c r="O53" s="2">
        <v>350</v>
      </c>
      <c r="P53" s="2">
        <f>IF(O53="-","-",O53/E53)</f>
        <v>0.62724014336917566</v>
      </c>
      <c r="Q53" s="2">
        <f>IF(O53="-",0,O53/E53)</f>
        <v>0.62724014336917566</v>
      </c>
      <c r="R53" s="2">
        <f>2*(32^2+16^2)*PI()/4</f>
        <v>2010.6192982974676</v>
      </c>
      <c r="S53" s="2">
        <f>R53/E53/H53*100</f>
        <v>2.0018113284522774</v>
      </c>
      <c r="T53" s="2">
        <f>560/4+654*3/4</f>
        <v>630.5</v>
      </c>
      <c r="U53" s="2" t="s">
        <v>210</v>
      </c>
      <c r="V53" s="2" t="s">
        <v>210</v>
      </c>
      <c r="W53" s="2">
        <v>0</v>
      </c>
      <c r="X53" s="2">
        <v>0</v>
      </c>
      <c r="Y53" s="2">
        <v>0</v>
      </c>
      <c r="Z53" s="2" t="s">
        <v>210</v>
      </c>
      <c r="AA53" s="2" t="s">
        <v>210</v>
      </c>
      <c r="AB53" s="2">
        <v>5</v>
      </c>
      <c r="AC53" s="2">
        <v>1</v>
      </c>
      <c r="AD53" s="2">
        <v>90</v>
      </c>
      <c r="AE53" s="2">
        <f>165.5*2*28/(14+28)</f>
        <v>220.66666666666666</v>
      </c>
    </row>
    <row r="54" spans="1:31" x14ac:dyDescent="0.3">
      <c r="A54" s="2" t="s">
        <v>92</v>
      </c>
      <c r="B54" s="2" t="s">
        <v>95</v>
      </c>
      <c r="C54" s="2" t="s">
        <v>34</v>
      </c>
      <c r="D54" s="2">
        <v>40.1</v>
      </c>
      <c r="E54" s="2">
        <v>558</v>
      </c>
      <c r="F54" s="2">
        <v>600</v>
      </c>
      <c r="G54" s="2">
        <v>100</v>
      </c>
      <c r="H54" s="2">
        <v>180</v>
      </c>
      <c r="I54" s="2">
        <v>450</v>
      </c>
      <c r="J54" s="2">
        <v>2.5</v>
      </c>
      <c r="K54" s="2">
        <v>565</v>
      </c>
      <c r="L54" s="2">
        <f>2*PI()*6^2/4</f>
        <v>56.548667764616276</v>
      </c>
      <c r="M54" s="2">
        <f>L54/O54/H54*100</f>
        <v>8.9759790102565518E-2</v>
      </c>
      <c r="N54" s="2">
        <f>L54*K54</f>
        <v>31949.997287008195</v>
      </c>
      <c r="O54" s="2">
        <v>350</v>
      </c>
      <c r="P54" s="2">
        <f>IF(O54="-","-",O54/E54)</f>
        <v>0.62724014336917566</v>
      </c>
      <c r="Q54" s="2">
        <f>IF(O54="-",0,O54/E54)</f>
        <v>0.62724014336917566</v>
      </c>
      <c r="R54" s="2">
        <f>2*(32^2+16^2)*PI()/4</f>
        <v>2010.6192982974676</v>
      </c>
      <c r="S54" s="2">
        <f>R54/E54/H54*100</f>
        <v>2.0018113284522774</v>
      </c>
      <c r="T54" s="2">
        <f>560/4+654*3/4</f>
        <v>630.5</v>
      </c>
      <c r="U54" s="2">
        <v>2577</v>
      </c>
      <c r="V54" s="2">
        <v>166</v>
      </c>
      <c r="W54" s="2">
        <f>AA54*2</f>
        <v>56</v>
      </c>
      <c r="X54" s="2">
        <f>W54/Z54/H54*100/SIN(AD54*PI()/180)</f>
        <v>0.11280161911756256</v>
      </c>
      <c r="Y54" s="2">
        <f>W54*V54*1000</f>
        <v>9296000</v>
      </c>
      <c r="Z54" s="2">
        <v>350</v>
      </c>
      <c r="AA54" s="2">
        <f>20*1.4</f>
        <v>28</v>
      </c>
      <c r="AB54" s="2">
        <f>Z54/E54</f>
        <v>0.62724014336917566</v>
      </c>
      <c r="AC54" s="2">
        <f>20/1.4</f>
        <v>14.285714285714286</v>
      </c>
      <c r="AD54" s="2">
        <v>52</v>
      </c>
      <c r="AE54" s="2">
        <f>278*2*28/(14+28)</f>
        <v>370.66666666666669</v>
      </c>
    </row>
    <row r="55" spans="1:31" x14ac:dyDescent="0.3">
      <c r="A55" s="2" t="s">
        <v>92</v>
      </c>
      <c r="B55" s="2" t="s">
        <v>95</v>
      </c>
      <c r="C55" s="2" t="s">
        <v>153</v>
      </c>
      <c r="D55" s="2">
        <v>40.1</v>
      </c>
      <c r="E55" s="2">
        <v>558</v>
      </c>
      <c r="F55" s="2">
        <v>600</v>
      </c>
      <c r="G55" s="2">
        <v>100</v>
      </c>
      <c r="H55" s="2">
        <v>180</v>
      </c>
      <c r="I55" s="2">
        <v>450</v>
      </c>
      <c r="J55" s="2">
        <v>2.5</v>
      </c>
      <c r="K55" s="2">
        <v>565</v>
      </c>
      <c r="L55" s="2">
        <f>2*PI()*6^2/4</f>
        <v>56.548667764616276</v>
      </c>
      <c r="M55" s="2">
        <f>L55/O55/H55*100</f>
        <v>8.9759790102565518E-2</v>
      </c>
      <c r="N55" s="2">
        <f>L55*K55</f>
        <v>31949.997287008195</v>
      </c>
      <c r="O55" s="2">
        <v>350</v>
      </c>
      <c r="P55" s="2">
        <f>IF(O55="-","-",O55/E55)</f>
        <v>0.62724014336917566</v>
      </c>
      <c r="Q55" s="2">
        <f>IF(O55="-",0,O55/E55)</f>
        <v>0.62724014336917566</v>
      </c>
      <c r="R55" s="2">
        <f>2*(32^2+16^2)*PI()/4</f>
        <v>2010.6192982974676</v>
      </c>
      <c r="S55" s="2">
        <f>R55/E55/H55*100</f>
        <v>2.0018113284522774</v>
      </c>
      <c r="T55" s="2">
        <f>560/4+654*3/4</f>
        <v>630.5</v>
      </c>
      <c r="U55" s="2">
        <v>2577</v>
      </c>
      <c r="V55" s="2">
        <v>166</v>
      </c>
      <c r="W55" s="2">
        <f>AA55*2</f>
        <v>56</v>
      </c>
      <c r="X55" s="2">
        <f>W55/Z55/H55*100/SIN(AD55*PI()/180)</f>
        <v>0.11280161911756256</v>
      </c>
      <c r="Y55" s="2">
        <f>W55*V55*1000</f>
        <v>9296000</v>
      </c>
      <c r="Z55" s="2">
        <v>350</v>
      </c>
      <c r="AA55" s="2">
        <f>20*1.4</f>
        <v>28</v>
      </c>
      <c r="AB55" s="2">
        <f>Z55/E55</f>
        <v>0.62724014336917566</v>
      </c>
      <c r="AC55" s="2">
        <f>20/1.4</f>
        <v>14.285714285714286</v>
      </c>
      <c r="AD55" s="2">
        <v>52</v>
      </c>
      <c r="AE55" s="2">
        <f>299.5*2*28/(14+28)</f>
        <v>399.33333333333331</v>
      </c>
    </row>
    <row r="56" spans="1:31" x14ac:dyDescent="0.3">
      <c r="A56" s="2" t="s">
        <v>92</v>
      </c>
      <c r="B56" s="2" t="s">
        <v>95</v>
      </c>
      <c r="C56" s="2" t="s">
        <v>154</v>
      </c>
      <c r="D56" s="2">
        <v>40.1</v>
      </c>
      <c r="E56" s="2">
        <v>558</v>
      </c>
      <c r="F56" s="2">
        <v>600</v>
      </c>
      <c r="G56" s="2">
        <v>100</v>
      </c>
      <c r="H56" s="2">
        <v>180</v>
      </c>
      <c r="I56" s="2">
        <v>450</v>
      </c>
      <c r="J56" s="2">
        <v>2.5</v>
      </c>
      <c r="K56" s="2">
        <v>565</v>
      </c>
      <c r="L56" s="2">
        <f>2*PI()*6^2/4</f>
        <v>56.548667764616276</v>
      </c>
      <c r="M56" s="2">
        <f>L56/O56/H56*100</f>
        <v>8.9759790102565518E-2</v>
      </c>
      <c r="N56" s="2">
        <f>L56*K56</f>
        <v>31949.997287008195</v>
      </c>
      <c r="O56" s="2">
        <v>350</v>
      </c>
      <c r="P56" s="2">
        <f>IF(O56="-","-",O56/E56)</f>
        <v>0.62724014336917566</v>
      </c>
      <c r="Q56" s="2">
        <f>IF(O56="-",0,O56/E56)</f>
        <v>0.62724014336917566</v>
      </c>
      <c r="R56" s="2">
        <f>2*(32^2+16^2)*PI()/4</f>
        <v>2010.6192982974676</v>
      </c>
      <c r="S56" s="2">
        <f>R56/E56/H56*100</f>
        <v>2.0018113284522774</v>
      </c>
      <c r="T56" s="2">
        <f>560/4+654*3/4</f>
        <v>630.5</v>
      </c>
      <c r="U56" s="2">
        <v>3009</v>
      </c>
      <c r="V56" s="2">
        <v>169</v>
      </c>
      <c r="W56" s="2">
        <f>AA56*2</f>
        <v>28</v>
      </c>
      <c r="X56" s="2">
        <f>W56/Z56/H56*100/SIN(AD56*PI()/180)</f>
        <v>5.6400809558781281E-2</v>
      </c>
      <c r="Y56" s="2">
        <f>W56*V56*1000</f>
        <v>4732000</v>
      </c>
      <c r="Z56" s="2">
        <v>350</v>
      </c>
      <c r="AA56" s="2">
        <f>10*1.4</f>
        <v>14</v>
      </c>
      <c r="AB56" s="2">
        <f>Z56/E56</f>
        <v>0.62724014336917566</v>
      </c>
      <c r="AC56" s="2">
        <f>10/1.4</f>
        <v>7.1428571428571432</v>
      </c>
      <c r="AD56" s="2">
        <v>52</v>
      </c>
      <c r="AE56" s="2">
        <f>275*2*28/(14+28)</f>
        <v>366.66666666666669</v>
      </c>
    </row>
    <row r="57" spans="1:31" x14ac:dyDescent="0.3">
      <c r="A57" s="2" t="s">
        <v>92</v>
      </c>
      <c r="B57" s="2" t="s">
        <v>95</v>
      </c>
      <c r="C57" s="2" t="s">
        <v>155</v>
      </c>
      <c r="D57" s="2">
        <v>40.1</v>
      </c>
      <c r="E57" s="2">
        <v>558</v>
      </c>
      <c r="F57" s="2">
        <v>600</v>
      </c>
      <c r="G57" s="2">
        <v>100</v>
      </c>
      <c r="H57" s="2">
        <v>180</v>
      </c>
      <c r="I57" s="2">
        <v>450</v>
      </c>
      <c r="J57" s="2">
        <v>2.5</v>
      </c>
      <c r="K57" s="2">
        <v>565</v>
      </c>
      <c r="L57" s="2">
        <f>2*PI()*6^2/4</f>
        <v>56.548667764616276</v>
      </c>
      <c r="M57" s="2">
        <f>L57/O57/H57*100</f>
        <v>8.9759790102565518E-2</v>
      </c>
      <c r="N57" s="2">
        <f>L57*K57</f>
        <v>31949.997287008195</v>
      </c>
      <c r="O57" s="2">
        <v>350</v>
      </c>
      <c r="P57" s="2">
        <f>IF(O57="-","-",O57/E57)</f>
        <v>0.62724014336917566</v>
      </c>
      <c r="Q57" s="2">
        <f>IF(O57="-",0,O57/E57)</f>
        <v>0.62724014336917566</v>
      </c>
      <c r="R57" s="2">
        <f>2*(32^2+16^2)*PI()/4</f>
        <v>2010.6192982974676</v>
      </c>
      <c r="S57" s="2">
        <f>R57/E57/H57*100</f>
        <v>2.0018113284522774</v>
      </c>
      <c r="T57" s="2">
        <f>560/4+654*3/4</f>
        <v>630.5</v>
      </c>
      <c r="U57" s="2">
        <v>3009</v>
      </c>
      <c r="V57" s="2">
        <v>169</v>
      </c>
      <c r="W57" s="2">
        <f>AA57*2</f>
        <v>28</v>
      </c>
      <c r="X57" s="2">
        <f>W57/Z57/H57*100/SIN(AD57*PI()/180)</f>
        <v>5.6400809558781281E-2</v>
      </c>
      <c r="Y57" s="2">
        <f>W57*V57*1000</f>
        <v>4732000</v>
      </c>
      <c r="Z57" s="2">
        <v>350</v>
      </c>
      <c r="AA57" s="2">
        <f>10*1.4</f>
        <v>14</v>
      </c>
      <c r="AB57" s="2">
        <f>Z57/E57</f>
        <v>0.62724014336917566</v>
      </c>
      <c r="AC57" s="2">
        <f>10/1.4</f>
        <v>7.1428571428571432</v>
      </c>
      <c r="AD57" s="2">
        <v>52</v>
      </c>
      <c r="AE57" s="2">
        <f>283*2*28/(14+28)</f>
        <v>377.33333333333331</v>
      </c>
    </row>
    <row r="58" spans="1:31" x14ac:dyDescent="0.3">
      <c r="A58" s="2" t="s">
        <v>185</v>
      </c>
      <c r="B58" s="2"/>
      <c r="C58" s="2" t="s">
        <v>186</v>
      </c>
      <c r="D58" s="2">
        <v>25</v>
      </c>
      <c r="E58" s="2">
        <v>350</v>
      </c>
      <c r="F58" s="2">
        <v>406</v>
      </c>
      <c r="G58" s="2">
        <v>102</v>
      </c>
      <c r="H58" s="2">
        <v>152</v>
      </c>
      <c r="I58" s="2">
        <v>508</v>
      </c>
      <c r="J58" s="2">
        <v>3</v>
      </c>
      <c r="K58" s="2" t="s">
        <v>210</v>
      </c>
      <c r="L58" s="2" t="s">
        <v>210</v>
      </c>
      <c r="M58" s="2" t="s">
        <v>210</v>
      </c>
      <c r="N58" s="2">
        <v>0</v>
      </c>
      <c r="O58" s="2" t="s">
        <v>210</v>
      </c>
      <c r="P58" s="2" t="s">
        <v>210</v>
      </c>
      <c r="Q58" s="2">
        <v>5</v>
      </c>
      <c r="R58" s="2">
        <f t="shared" ref="R58:R63" si="24">PI()*25^2</f>
        <v>1963.4954084936207</v>
      </c>
      <c r="S58" s="2">
        <f>R58/E58/H58*100</f>
        <v>3.6907808430331217</v>
      </c>
      <c r="T58" s="2">
        <v>470</v>
      </c>
      <c r="U58" s="2" t="s">
        <v>210</v>
      </c>
      <c r="V58" s="2" t="s">
        <v>210</v>
      </c>
      <c r="W58" s="2">
        <v>0</v>
      </c>
      <c r="X58" s="2">
        <v>0</v>
      </c>
      <c r="Y58" s="2">
        <v>0</v>
      </c>
      <c r="Z58" s="2" t="s">
        <v>210</v>
      </c>
      <c r="AA58" s="2" t="s">
        <v>210</v>
      </c>
      <c r="AB58" s="2">
        <v>5</v>
      </c>
      <c r="AC58" s="2">
        <v>1</v>
      </c>
      <c r="AD58" s="2">
        <v>90</v>
      </c>
      <c r="AE58" s="2">
        <v>81.3</v>
      </c>
    </row>
    <row r="59" spans="1:31" x14ac:dyDescent="0.3">
      <c r="A59" s="2" t="s">
        <v>185</v>
      </c>
      <c r="B59" s="2"/>
      <c r="C59" s="2" t="s">
        <v>187</v>
      </c>
      <c r="D59" s="2">
        <v>25</v>
      </c>
      <c r="E59" s="2">
        <v>350</v>
      </c>
      <c r="F59" s="2">
        <v>406</v>
      </c>
      <c r="G59" s="2">
        <v>102</v>
      </c>
      <c r="H59" s="2">
        <v>152</v>
      </c>
      <c r="I59" s="2">
        <v>508</v>
      </c>
      <c r="J59" s="2">
        <v>3</v>
      </c>
      <c r="K59" s="2">
        <v>540</v>
      </c>
      <c r="L59" s="2">
        <f>2*PI()*6^2/4</f>
        <v>56.548667764616276</v>
      </c>
      <c r="M59" s="2">
        <f>L59/O59/H59*100</f>
        <v>0.21258897655870779</v>
      </c>
      <c r="N59" s="2">
        <f>L59*K59</f>
        <v>30536.280592892788</v>
      </c>
      <c r="O59" s="2">
        <f>E59/2</f>
        <v>175</v>
      </c>
      <c r="P59" s="2">
        <f>IF(O59="-","-",O59/E59)</f>
        <v>0.5</v>
      </c>
      <c r="Q59" s="2">
        <f>IF(O59="-",0,O59/E59)</f>
        <v>0.5</v>
      </c>
      <c r="R59" s="2">
        <f t="shared" si="24"/>
        <v>1963.4954084936207</v>
      </c>
      <c r="S59" s="2">
        <f>R59/E59/H59*100</f>
        <v>3.6907808430331217</v>
      </c>
      <c r="T59" s="2">
        <v>470</v>
      </c>
      <c r="U59" s="2" t="s">
        <v>210</v>
      </c>
      <c r="V59" s="2" t="s">
        <v>210</v>
      </c>
      <c r="W59" s="2">
        <v>0</v>
      </c>
      <c r="X59" s="2">
        <v>0</v>
      </c>
      <c r="Y59" s="2">
        <v>0</v>
      </c>
      <c r="Z59" s="2" t="s">
        <v>210</v>
      </c>
      <c r="AA59" s="2" t="s">
        <v>210</v>
      </c>
      <c r="AB59" s="2">
        <v>5</v>
      </c>
      <c r="AC59" s="2">
        <v>1</v>
      </c>
      <c r="AD59" s="2">
        <v>90</v>
      </c>
      <c r="AE59" s="2">
        <v>232.2</v>
      </c>
    </row>
    <row r="60" spans="1:31" x14ac:dyDescent="0.3">
      <c r="A60" s="2" t="s">
        <v>185</v>
      </c>
      <c r="B60" s="2"/>
      <c r="C60" s="2" t="s">
        <v>190</v>
      </c>
      <c r="D60" s="2">
        <v>35</v>
      </c>
      <c r="E60" s="2">
        <v>350</v>
      </c>
      <c r="F60" s="2">
        <v>406</v>
      </c>
      <c r="G60" s="2">
        <v>102</v>
      </c>
      <c r="H60" s="2">
        <v>152</v>
      </c>
      <c r="I60" s="2">
        <v>508</v>
      </c>
      <c r="J60" s="2">
        <v>3</v>
      </c>
      <c r="K60" s="2">
        <v>650</v>
      </c>
      <c r="L60" s="2">
        <f>2*PI()*6^2/4</f>
        <v>56.548667764616276</v>
      </c>
      <c r="M60" s="2">
        <f>L60/O60/H60*100</f>
        <v>0.14172598437247186</v>
      </c>
      <c r="N60" s="2">
        <f>L60*K60</f>
        <v>36756.634047000582</v>
      </c>
      <c r="O60" s="2">
        <f>3/4*E60</f>
        <v>262.5</v>
      </c>
      <c r="P60" s="2">
        <f>IF(O60="-","-",O60/E60)</f>
        <v>0.75</v>
      </c>
      <c r="Q60" s="2">
        <f>IF(O60="-",0,O60/E60)</f>
        <v>0.75</v>
      </c>
      <c r="R60" s="2">
        <f t="shared" si="24"/>
        <v>1963.4954084936207</v>
      </c>
      <c r="S60" s="2">
        <f>R60/E60/H60*100</f>
        <v>3.6907808430331217</v>
      </c>
      <c r="T60" s="2">
        <v>650</v>
      </c>
      <c r="U60" s="2" t="s">
        <v>210</v>
      </c>
      <c r="V60" s="2" t="s">
        <v>210</v>
      </c>
      <c r="W60" s="2">
        <v>0</v>
      </c>
      <c r="X60" s="2">
        <v>0</v>
      </c>
      <c r="Y60" s="2">
        <v>0</v>
      </c>
      <c r="Z60" s="2" t="s">
        <v>210</v>
      </c>
      <c r="AA60" s="2" t="s">
        <v>210</v>
      </c>
      <c r="AB60" s="2">
        <v>5</v>
      </c>
      <c r="AC60" s="2">
        <v>1</v>
      </c>
      <c r="AD60" s="2">
        <v>90</v>
      </c>
      <c r="AE60" s="2">
        <v>194.7</v>
      </c>
    </row>
    <row r="61" spans="1:31" x14ac:dyDescent="0.3">
      <c r="A61" s="2" t="s">
        <v>185</v>
      </c>
      <c r="B61" s="2"/>
      <c r="C61" s="2" t="s">
        <v>188</v>
      </c>
      <c r="D61" s="2">
        <v>25</v>
      </c>
      <c r="E61" s="2">
        <v>350</v>
      </c>
      <c r="F61" s="2">
        <v>406</v>
      </c>
      <c r="G61" s="2">
        <v>102</v>
      </c>
      <c r="H61" s="2">
        <v>152</v>
      </c>
      <c r="I61" s="2">
        <v>508</v>
      </c>
      <c r="J61" s="2">
        <v>3</v>
      </c>
      <c r="K61" s="2" t="s">
        <v>210</v>
      </c>
      <c r="L61" s="2" t="s">
        <v>210</v>
      </c>
      <c r="M61" s="2" t="s">
        <v>210</v>
      </c>
      <c r="N61" s="2">
        <v>0</v>
      </c>
      <c r="O61" s="2" t="s">
        <v>210</v>
      </c>
      <c r="P61" s="2" t="s">
        <v>210</v>
      </c>
      <c r="Q61" s="2">
        <v>5</v>
      </c>
      <c r="R61" s="2">
        <f t="shared" si="24"/>
        <v>1963.4954084936207</v>
      </c>
      <c r="S61" s="2">
        <f>R61/E61/H61*100</f>
        <v>3.6907808430331217</v>
      </c>
      <c r="T61" s="2">
        <v>470</v>
      </c>
      <c r="U61" s="2">
        <v>1885</v>
      </c>
      <c r="V61" s="2">
        <v>148</v>
      </c>
      <c r="W61" s="2">
        <f>AA61*2</f>
        <v>141.7643684932394</v>
      </c>
      <c r="X61" s="2">
        <f>W61/Z61/H61*100/SIN(AD61*PI()/180)</f>
        <v>0.71743101464189984</v>
      </c>
      <c r="Y61" s="2">
        <f>W61*V61*1000</f>
        <v>20981126.536999434</v>
      </c>
      <c r="Z61" s="2">
        <v>130</v>
      </c>
      <c r="AA61" s="2">
        <f>PI()*9.5^2/4</f>
        <v>70.882184246619701</v>
      </c>
      <c r="AB61" s="2">
        <f>Z61/E61</f>
        <v>0.37142857142857144</v>
      </c>
      <c r="AC61" s="2">
        <v>1</v>
      </c>
      <c r="AD61" s="2">
        <v>90</v>
      </c>
      <c r="AE61" s="2">
        <v>131.1</v>
      </c>
    </row>
    <row r="62" spans="1:31" x14ac:dyDescent="0.3">
      <c r="A62" s="2" t="s">
        <v>185</v>
      </c>
      <c r="B62" s="2"/>
      <c r="C62" s="2" t="s">
        <v>189</v>
      </c>
      <c r="D62" s="2">
        <v>25</v>
      </c>
      <c r="E62" s="2">
        <v>350</v>
      </c>
      <c r="F62" s="2">
        <v>406</v>
      </c>
      <c r="G62" s="2">
        <v>102</v>
      </c>
      <c r="H62" s="2">
        <v>152</v>
      </c>
      <c r="I62" s="2">
        <v>508</v>
      </c>
      <c r="J62" s="2">
        <v>3</v>
      </c>
      <c r="K62" s="2">
        <v>540</v>
      </c>
      <c r="L62" s="2">
        <f t="shared" ref="L62:L80" si="25">2*PI()*6^2/4</f>
        <v>56.548667764616276</v>
      </c>
      <c r="M62" s="2">
        <f>L62/O62/H62*100</f>
        <v>0.21258897655870779</v>
      </c>
      <c r="N62" s="2">
        <f>L62*K62</f>
        <v>30536.280592892788</v>
      </c>
      <c r="O62" s="2">
        <f>E62/2</f>
        <v>175</v>
      </c>
      <c r="P62" s="2">
        <f>IF(O62="-","-",O62/E62)</f>
        <v>0.5</v>
      </c>
      <c r="Q62" s="2">
        <f>IF(O62="-",0,O62/E62)</f>
        <v>0.5</v>
      </c>
      <c r="R62" s="2">
        <f t="shared" si="24"/>
        <v>1963.4954084936207</v>
      </c>
      <c r="S62" s="2">
        <f>R62/E62/H62*100</f>
        <v>3.6907808430331217</v>
      </c>
      <c r="T62" s="2">
        <v>470</v>
      </c>
      <c r="U62" s="2">
        <v>1885</v>
      </c>
      <c r="V62" s="2">
        <v>148</v>
      </c>
      <c r="W62" s="2">
        <f>AA62*2</f>
        <v>141.7643684932394</v>
      </c>
      <c r="X62" s="2">
        <f>W62/Z62/H62*100/SIN(AD62*PI()/180)</f>
        <v>0.71743101464189984</v>
      </c>
      <c r="Y62" s="2">
        <f>W62*V62*1000</f>
        <v>20981126.536999434</v>
      </c>
      <c r="Z62" s="2">
        <v>130</v>
      </c>
      <c r="AA62" s="2">
        <f>PI()*9.5^2/4</f>
        <v>70.882184246619701</v>
      </c>
      <c r="AB62" s="2">
        <f>Z62/E62</f>
        <v>0.37142857142857144</v>
      </c>
      <c r="AC62" s="2">
        <v>1</v>
      </c>
      <c r="AD62" s="2">
        <v>90</v>
      </c>
      <c r="AE62" s="2">
        <v>241.7</v>
      </c>
    </row>
    <row r="63" spans="1:31" x14ac:dyDescent="0.3">
      <c r="A63" s="2" t="s">
        <v>185</v>
      </c>
      <c r="B63" s="2"/>
      <c r="C63" s="2" t="s">
        <v>191</v>
      </c>
      <c r="D63" s="2">
        <v>35</v>
      </c>
      <c r="E63" s="2">
        <v>350</v>
      </c>
      <c r="F63" s="2">
        <v>406</v>
      </c>
      <c r="G63" s="2">
        <v>102</v>
      </c>
      <c r="H63" s="2">
        <v>152</v>
      </c>
      <c r="I63" s="2">
        <v>508</v>
      </c>
      <c r="J63" s="2">
        <v>3</v>
      </c>
      <c r="K63" s="2">
        <v>650</v>
      </c>
      <c r="L63" s="2">
        <f t="shared" si="25"/>
        <v>56.548667764616276</v>
      </c>
      <c r="M63" s="2">
        <f>L63/O63/H63*100</f>
        <v>0.14172598437247186</v>
      </c>
      <c r="N63" s="2">
        <f>L63*K63</f>
        <v>36756.634047000582</v>
      </c>
      <c r="O63" s="2">
        <f>3/4*E63</f>
        <v>262.5</v>
      </c>
      <c r="P63" s="2">
        <f>IF(O63="-","-",O63/E63)</f>
        <v>0.75</v>
      </c>
      <c r="Q63" s="2">
        <f>IF(O63="-",0,O63/E63)</f>
        <v>0.75</v>
      </c>
      <c r="R63" s="2">
        <f t="shared" si="24"/>
        <v>1963.4954084936207</v>
      </c>
      <c r="S63" s="2">
        <f>R63/E63/H63*100</f>
        <v>3.6907808430331217</v>
      </c>
      <c r="T63" s="2">
        <v>650</v>
      </c>
      <c r="U63" s="2">
        <v>1885</v>
      </c>
      <c r="V63" s="2">
        <v>148</v>
      </c>
      <c r="W63" s="2">
        <f>AA63*2</f>
        <v>141.7643684932394</v>
      </c>
      <c r="X63" s="2">
        <f>W63/Z63/H63*100/SIN(AD63*PI()/180)</f>
        <v>0.71743101464189984</v>
      </c>
      <c r="Y63" s="2">
        <f>W63*V63*1000</f>
        <v>20981126.536999434</v>
      </c>
      <c r="Z63" s="2">
        <v>130</v>
      </c>
      <c r="AA63" s="2">
        <f>PI()*9.5^2/4</f>
        <v>70.882184246619701</v>
      </c>
      <c r="AB63" s="2">
        <f>Z63/E63</f>
        <v>0.37142857142857144</v>
      </c>
      <c r="AC63" s="2">
        <v>1</v>
      </c>
      <c r="AD63" s="2">
        <v>90</v>
      </c>
      <c r="AE63" s="2">
        <v>251.6</v>
      </c>
    </row>
    <row r="64" spans="1:31" x14ac:dyDescent="0.3">
      <c r="A64" s="2" t="s">
        <v>203</v>
      </c>
      <c r="B64" s="2"/>
      <c r="C64" s="2" t="s">
        <v>204</v>
      </c>
      <c r="D64" s="2">
        <v>27.97</v>
      </c>
      <c r="E64" s="2">
        <v>310</v>
      </c>
      <c r="F64" s="2">
        <v>350</v>
      </c>
      <c r="G64" s="2">
        <v>0</v>
      </c>
      <c r="H64" s="2">
        <v>200</v>
      </c>
      <c r="I64" s="2">
        <f t="shared" ref="I64:I80" si="26">IF(G64=0,H64,"")</f>
        <v>200</v>
      </c>
      <c r="J64" s="2">
        <f t="shared" ref="J64:J80" si="27">930/E64</f>
        <v>3</v>
      </c>
      <c r="K64" s="2">
        <v>400</v>
      </c>
      <c r="L64" s="2">
        <f t="shared" si="25"/>
        <v>56.548667764616276</v>
      </c>
      <c r="M64" s="2">
        <f>L64/O64/H64*100</f>
        <v>0.12293188644481801</v>
      </c>
      <c r="N64" s="2">
        <f>L64*K64</f>
        <v>22619.46710584651</v>
      </c>
      <c r="O64" s="2">
        <v>230</v>
      </c>
      <c r="P64" s="2">
        <f>IF(O64="-","-",O64/E64)</f>
        <v>0.74193548387096775</v>
      </c>
      <c r="Q64" s="2">
        <f>IF(O64="-",0,O64/E64)</f>
        <v>0.74193548387096775</v>
      </c>
      <c r="R64" s="2">
        <f t="shared" ref="R64:R80" si="28">PI()*20^2</f>
        <v>1256.6370614359173</v>
      </c>
      <c r="S64" s="2">
        <f>R64/E64/H64*100</f>
        <v>2.0268339700579312</v>
      </c>
      <c r="T64" s="2">
        <v>446</v>
      </c>
      <c r="U64" s="2" t="s">
        <v>210</v>
      </c>
      <c r="V64" s="2" t="s">
        <v>210</v>
      </c>
      <c r="W64" s="2">
        <v>0</v>
      </c>
      <c r="X64" s="2">
        <v>0</v>
      </c>
      <c r="Y64" s="2">
        <v>0</v>
      </c>
      <c r="Z64" s="2" t="s">
        <v>210</v>
      </c>
      <c r="AA64" s="2" t="s">
        <v>210</v>
      </c>
      <c r="AB64" s="2">
        <v>5</v>
      </c>
      <c r="AC64" s="2">
        <v>1</v>
      </c>
      <c r="AD64" s="2">
        <v>90</v>
      </c>
      <c r="AE64" s="2">
        <v>123.17</v>
      </c>
    </row>
    <row r="65" spans="1:31" x14ac:dyDescent="0.3">
      <c r="A65" s="2" t="s">
        <v>236</v>
      </c>
      <c r="B65" s="2" t="s">
        <v>98</v>
      </c>
      <c r="C65" s="2" t="s">
        <v>127</v>
      </c>
      <c r="D65" s="2">
        <v>26.69</v>
      </c>
      <c r="E65" s="2">
        <v>310</v>
      </c>
      <c r="F65" s="2">
        <v>350</v>
      </c>
      <c r="G65" s="2">
        <f t="shared" ref="G65:G80" si="29">IF(B65="T","",0)</f>
        <v>0</v>
      </c>
      <c r="H65" s="2">
        <v>200</v>
      </c>
      <c r="I65" s="2">
        <f t="shared" si="26"/>
        <v>200</v>
      </c>
      <c r="J65" s="2">
        <f t="shared" si="27"/>
        <v>3</v>
      </c>
      <c r="K65" s="2">
        <v>400</v>
      </c>
      <c r="L65" s="2">
        <f t="shared" si="25"/>
        <v>56.548667764616276</v>
      </c>
      <c r="M65" s="2">
        <f>L65/O65/H65*100</f>
        <v>0.12293188644481801</v>
      </c>
      <c r="N65" s="2">
        <f>L65*K65</f>
        <v>22619.46710584651</v>
      </c>
      <c r="O65" s="2">
        <v>230</v>
      </c>
      <c r="P65" s="2">
        <f>IF(O65="-","-",O65/E65)</f>
        <v>0.74193548387096775</v>
      </c>
      <c r="Q65" s="2">
        <f>IF(O65="-",0,O65/E65)</f>
        <v>0.74193548387096775</v>
      </c>
      <c r="R65" s="2">
        <f t="shared" si="28"/>
        <v>1256.6370614359173</v>
      </c>
      <c r="S65" s="2">
        <f>R65/E65/H65*100</f>
        <v>2.0268339700579312</v>
      </c>
      <c r="T65" s="2">
        <v>500</v>
      </c>
      <c r="U65" s="2">
        <v>2500</v>
      </c>
      <c r="V65" s="2">
        <v>165</v>
      </c>
      <c r="W65" s="2">
        <f t="shared" ref="W65:W80" si="30">AA65*2</f>
        <v>100.53096491487338</v>
      </c>
      <c r="X65" s="2">
        <v>0.44</v>
      </c>
      <c r="Y65" s="2">
        <f t="shared" ref="Y65:Y80" si="31">W65*V65*1000</f>
        <v>16587609.210954105</v>
      </c>
      <c r="Z65" s="2">
        <v>115</v>
      </c>
      <c r="AA65" s="2">
        <f t="shared" ref="AA65:AA72" si="32">PI()*8^2/4</f>
        <v>50.26548245743669</v>
      </c>
      <c r="AB65" s="2">
        <f>Z65/E65</f>
        <v>0.37096774193548387</v>
      </c>
      <c r="AC65" s="2">
        <v>1</v>
      </c>
      <c r="AD65" s="2">
        <v>90</v>
      </c>
      <c r="AE65" s="2">
        <v>180.98</v>
      </c>
    </row>
    <row r="66" spans="1:31" x14ac:dyDescent="0.3">
      <c r="A66" s="2" t="s">
        <v>236</v>
      </c>
      <c r="B66" s="2" t="s">
        <v>98</v>
      </c>
      <c r="C66" s="2" t="s">
        <v>128</v>
      </c>
      <c r="D66" s="2">
        <v>24.09</v>
      </c>
      <c r="E66" s="2">
        <v>310</v>
      </c>
      <c r="F66" s="2">
        <v>350</v>
      </c>
      <c r="G66" s="2">
        <f t="shared" si="29"/>
        <v>0</v>
      </c>
      <c r="H66" s="2">
        <v>200</v>
      </c>
      <c r="I66" s="2">
        <f t="shared" si="26"/>
        <v>200</v>
      </c>
      <c r="J66" s="2">
        <f t="shared" si="27"/>
        <v>3</v>
      </c>
      <c r="K66" s="2">
        <v>400</v>
      </c>
      <c r="L66" s="2">
        <f t="shared" si="25"/>
        <v>56.548667764616276</v>
      </c>
      <c r="M66" s="2">
        <f>L66/O66/H66*100</f>
        <v>0.12293188644481801</v>
      </c>
      <c r="N66" s="2">
        <f>L66*K66</f>
        <v>22619.46710584651</v>
      </c>
      <c r="O66" s="2">
        <v>230</v>
      </c>
      <c r="P66" s="2">
        <f>IF(O66="-","-",O66/E66)</f>
        <v>0.74193548387096775</v>
      </c>
      <c r="Q66" s="2">
        <f>IF(O66="-",0,O66/E66)</f>
        <v>0.74193548387096775</v>
      </c>
      <c r="R66" s="2">
        <f t="shared" si="28"/>
        <v>1256.6370614359173</v>
      </c>
      <c r="S66" s="2">
        <f>R66/E66/H66*100</f>
        <v>2.0268339700579312</v>
      </c>
      <c r="T66" s="2">
        <v>500</v>
      </c>
      <c r="U66" s="2">
        <v>2500</v>
      </c>
      <c r="V66" s="2">
        <v>165</v>
      </c>
      <c r="W66" s="2">
        <f t="shared" si="30"/>
        <v>100.53096491487338</v>
      </c>
      <c r="X66" s="2">
        <v>0.44</v>
      </c>
      <c r="Y66" s="2">
        <f t="shared" si="31"/>
        <v>16587609.210954105</v>
      </c>
      <c r="Z66" s="2">
        <v>115</v>
      </c>
      <c r="AA66" s="2">
        <f t="shared" si="32"/>
        <v>50.26548245743669</v>
      </c>
      <c r="AB66" s="2">
        <f>Z66/E66</f>
        <v>0.37096774193548387</v>
      </c>
      <c r="AC66" s="2">
        <v>1</v>
      </c>
      <c r="AD66" s="2">
        <v>90</v>
      </c>
      <c r="AE66" s="2">
        <v>164.9</v>
      </c>
    </row>
    <row r="67" spans="1:31" x14ac:dyDescent="0.3">
      <c r="A67" s="2" t="s">
        <v>236</v>
      </c>
      <c r="B67" s="2" t="s">
        <v>98</v>
      </c>
      <c r="C67" s="2" t="s">
        <v>125</v>
      </c>
      <c r="D67" s="2">
        <v>22.84</v>
      </c>
      <c r="E67" s="2">
        <v>310</v>
      </c>
      <c r="F67" s="2">
        <v>350</v>
      </c>
      <c r="G67" s="2">
        <f t="shared" si="29"/>
        <v>0</v>
      </c>
      <c r="H67" s="2">
        <v>200</v>
      </c>
      <c r="I67" s="2">
        <f t="shared" si="26"/>
        <v>200</v>
      </c>
      <c r="J67" s="2">
        <f t="shared" si="27"/>
        <v>3</v>
      </c>
      <c r="K67" s="2">
        <v>400</v>
      </c>
      <c r="L67" s="2">
        <f t="shared" si="25"/>
        <v>56.548667764616276</v>
      </c>
      <c r="M67" s="2">
        <f>L67/O67/H67*100</f>
        <v>0.12293188644481801</v>
      </c>
      <c r="N67" s="2">
        <f>L67*K67</f>
        <v>22619.46710584651</v>
      </c>
      <c r="O67" s="2">
        <v>230</v>
      </c>
      <c r="P67" s="2">
        <f>IF(O67="-","-",O67/E67)</f>
        <v>0.74193548387096775</v>
      </c>
      <c r="Q67" s="2">
        <f>IF(O67="-",0,O67/E67)</f>
        <v>0.74193548387096775</v>
      </c>
      <c r="R67" s="2">
        <f t="shared" si="28"/>
        <v>1256.6370614359173</v>
      </c>
      <c r="S67" s="2">
        <f>R67/E67/H67*100</f>
        <v>2.0268339700579312</v>
      </c>
      <c r="T67" s="2">
        <v>500</v>
      </c>
      <c r="U67" s="2">
        <v>2500</v>
      </c>
      <c r="V67" s="2">
        <v>165</v>
      </c>
      <c r="W67" s="2">
        <f t="shared" si="30"/>
        <v>100.53096491487338</v>
      </c>
      <c r="X67" s="2">
        <v>0.22</v>
      </c>
      <c r="Y67" s="2">
        <f t="shared" si="31"/>
        <v>16587609.210954105</v>
      </c>
      <c r="Z67" s="2">
        <v>230</v>
      </c>
      <c r="AA67" s="2">
        <f t="shared" si="32"/>
        <v>50.26548245743669</v>
      </c>
      <c r="AB67" s="2">
        <f>Z67/E67</f>
        <v>0.74193548387096775</v>
      </c>
      <c r="AC67" s="2">
        <v>1</v>
      </c>
      <c r="AD67" s="2">
        <v>90</v>
      </c>
      <c r="AE67" s="2">
        <v>131.22</v>
      </c>
    </row>
    <row r="68" spans="1:31" x14ac:dyDescent="0.3">
      <c r="A68" s="2" t="s">
        <v>236</v>
      </c>
      <c r="B68" s="2" t="s">
        <v>98</v>
      </c>
      <c r="C68" s="2" t="s">
        <v>126</v>
      </c>
      <c r="D68" s="2">
        <v>26.02</v>
      </c>
      <c r="E68" s="2">
        <v>310</v>
      </c>
      <c r="F68" s="2">
        <v>350</v>
      </c>
      <c r="G68" s="2">
        <f t="shared" si="29"/>
        <v>0</v>
      </c>
      <c r="H68" s="2">
        <v>200</v>
      </c>
      <c r="I68" s="2">
        <f t="shared" si="26"/>
        <v>200</v>
      </c>
      <c r="J68" s="2">
        <f t="shared" si="27"/>
        <v>3</v>
      </c>
      <c r="K68" s="2">
        <v>400</v>
      </c>
      <c r="L68" s="2">
        <f t="shared" si="25"/>
        <v>56.548667764616276</v>
      </c>
      <c r="M68" s="2">
        <f>L68/O68/H68*100</f>
        <v>0.12293188644481801</v>
      </c>
      <c r="N68" s="2">
        <f>L68*K68</f>
        <v>22619.46710584651</v>
      </c>
      <c r="O68" s="2">
        <v>230</v>
      </c>
      <c r="P68" s="2">
        <f>IF(O68="-","-",O68/E68)</f>
        <v>0.74193548387096775</v>
      </c>
      <c r="Q68" s="2">
        <f>IF(O68="-",0,O68/E68)</f>
        <v>0.74193548387096775</v>
      </c>
      <c r="R68" s="2">
        <f t="shared" si="28"/>
        <v>1256.6370614359173</v>
      </c>
      <c r="S68" s="2">
        <f>R68/E68/H68*100</f>
        <v>2.0268339700579312</v>
      </c>
      <c r="T68" s="2">
        <v>500</v>
      </c>
      <c r="U68" s="2">
        <v>2500</v>
      </c>
      <c r="V68" s="2">
        <v>165</v>
      </c>
      <c r="W68" s="2">
        <f t="shared" si="30"/>
        <v>100.53096491487338</v>
      </c>
      <c r="X68" s="2">
        <v>0.22</v>
      </c>
      <c r="Y68" s="2">
        <f t="shared" si="31"/>
        <v>16587609.210954105</v>
      </c>
      <c r="Z68" s="2">
        <v>230</v>
      </c>
      <c r="AA68" s="2">
        <f t="shared" si="32"/>
        <v>50.26548245743669</v>
      </c>
      <c r="AB68" s="2">
        <f>Z68/E68</f>
        <v>0.74193548387096775</v>
      </c>
      <c r="AC68" s="2">
        <v>1</v>
      </c>
      <c r="AD68" s="2">
        <v>90</v>
      </c>
      <c r="AE68" s="2">
        <v>120.56</v>
      </c>
    </row>
    <row r="69" spans="1:31" x14ac:dyDescent="0.3">
      <c r="A69" s="2" t="s">
        <v>236</v>
      </c>
      <c r="B69" s="2" t="s">
        <v>98</v>
      </c>
      <c r="C69" s="2" t="s">
        <v>131</v>
      </c>
      <c r="D69" s="2">
        <v>22.98</v>
      </c>
      <c r="E69" s="2">
        <v>310</v>
      </c>
      <c r="F69" s="2">
        <v>350</v>
      </c>
      <c r="G69" s="2">
        <f t="shared" si="29"/>
        <v>0</v>
      </c>
      <c r="H69" s="2">
        <v>200</v>
      </c>
      <c r="I69" s="2">
        <f t="shared" si="26"/>
        <v>200</v>
      </c>
      <c r="J69" s="2">
        <f t="shared" si="27"/>
        <v>3</v>
      </c>
      <c r="K69" s="2">
        <v>400</v>
      </c>
      <c r="L69" s="2">
        <f t="shared" si="25"/>
        <v>56.548667764616276</v>
      </c>
      <c r="M69" s="2">
        <f>L69/O69/H69*100</f>
        <v>0.12293188644481801</v>
      </c>
      <c r="N69" s="2">
        <f>L69*K69</f>
        <v>22619.46710584651</v>
      </c>
      <c r="O69" s="2">
        <v>230</v>
      </c>
      <c r="P69" s="2">
        <f>IF(O69="-","-",O69/E69)</f>
        <v>0.74193548387096775</v>
      </c>
      <c r="Q69" s="2">
        <f>IF(O69="-",0,O69/E69)</f>
        <v>0.74193548387096775</v>
      </c>
      <c r="R69" s="2">
        <f t="shared" si="28"/>
        <v>1256.6370614359173</v>
      </c>
      <c r="S69" s="2">
        <f>R69/E69/H69*100</f>
        <v>2.0268339700579312</v>
      </c>
      <c r="T69" s="2">
        <v>500</v>
      </c>
      <c r="U69" s="2">
        <v>2500</v>
      </c>
      <c r="V69" s="2">
        <v>165</v>
      </c>
      <c r="W69" s="2">
        <f t="shared" si="30"/>
        <v>100.53096491487338</v>
      </c>
      <c r="X69" s="2">
        <v>0.62</v>
      </c>
      <c r="Y69" s="2">
        <f t="shared" si="31"/>
        <v>16587609.210954105</v>
      </c>
      <c r="Z69" s="2">
        <v>115</v>
      </c>
      <c r="AA69" s="2">
        <f t="shared" si="32"/>
        <v>50.26548245743669</v>
      </c>
      <c r="AB69" s="2">
        <f>Z69/E69</f>
        <v>0.37096774193548387</v>
      </c>
      <c r="AC69" s="2">
        <v>1</v>
      </c>
      <c r="AD69" s="2">
        <v>45</v>
      </c>
      <c r="AE69" s="2">
        <v>180.99</v>
      </c>
    </row>
    <row r="70" spans="1:31" x14ac:dyDescent="0.3">
      <c r="A70" s="2" t="s">
        <v>236</v>
      </c>
      <c r="B70" s="2" t="s">
        <v>98</v>
      </c>
      <c r="C70" s="2" t="s">
        <v>132</v>
      </c>
      <c r="D70" s="2">
        <v>28.48</v>
      </c>
      <c r="E70" s="2">
        <v>310</v>
      </c>
      <c r="F70" s="2">
        <v>350</v>
      </c>
      <c r="G70" s="2">
        <f t="shared" si="29"/>
        <v>0</v>
      </c>
      <c r="H70" s="2">
        <v>200</v>
      </c>
      <c r="I70" s="2">
        <f t="shared" si="26"/>
        <v>200</v>
      </c>
      <c r="J70" s="2">
        <f t="shared" si="27"/>
        <v>3</v>
      </c>
      <c r="K70" s="2">
        <v>400</v>
      </c>
      <c r="L70" s="2">
        <f t="shared" si="25"/>
        <v>56.548667764616276</v>
      </c>
      <c r="M70" s="2">
        <f>L70/O70/H70*100</f>
        <v>0.12293188644481801</v>
      </c>
      <c r="N70" s="2">
        <f>L70*K70</f>
        <v>22619.46710584651</v>
      </c>
      <c r="O70" s="2">
        <v>230</v>
      </c>
      <c r="P70" s="2">
        <f>IF(O70="-","-",O70/E70)</f>
        <v>0.74193548387096775</v>
      </c>
      <c r="Q70" s="2">
        <f>IF(O70="-",0,O70/E70)</f>
        <v>0.74193548387096775</v>
      </c>
      <c r="R70" s="2">
        <f t="shared" si="28"/>
        <v>1256.6370614359173</v>
      </c>
      <c r="S70" s="2">
        <f>R70/E70/H70*100</f>
        <v>2.0268339700579312</v>
      </c>
      <c r="T70" s="2">
        <v>500</v>
      </c>
      <c r="U70" s="2">
        <v>2500</v>
      </c>
      <c r="V70" s="2">
        <v>165</v>
      </c>
      <c r="W70" s="2">
        <f t="shared" si="30"/>
        <v>100.53096491487338</v>
      </c>
      <c r="X70" s="2">
        <v>0.62</v>
      </c>
      <c r="Y70" s="2">
        <f t="shared" si="31"/>
        <v>16587609.210954105</v>
      </c>
      <c r="Z70" s="2">
        <v>115</v>
      </c>
      <c r="AA70" s="2">
        <f t="shared" si="32"/>
        <v>50.26548245743669</v>
      </c>
      <c r="AB70" s="2">
        <f>Z70/E70</f>
        <v>0.37096774193548387</v>
      </c>
      <c r="AC70" s="2">
        <v>1</v>
      </c>
      <c r="AD70" s="2">
        <v>45</v>
      </c>
      <c r="AE70" s="2">
        <v>212.86</v>
      </c>
    </row>
    <row r="71" spans="1:31" x14ac:dyDescent="0.3">
      <c r="A71" s="2" t="s">
        <v>236</v>
      </c>
      <c r="B71" s="2" t="s">
        <v>98</v>
      </c>
      <c r="C71" s="2" t="s">
        <v>263</v>
      </c>
      <c r="D71" s="2">
        <v>29.11</v>
      </c>
      <c r="E71" s="2">
        <v>310</v>
      </c>
      <c r="F71" s="2">
        <v>350</v>
      </c>
      <c r="G71" s="2">
        <f t="shared" si="29"/>
        <v>0</v>
      </c>
      <c r="H71" s="2">
        <v>200</v>
      </c>
      <c r="I71" s="2">
        <f t="shared" si="26"/>
        <v>200</v>
      </c>
      <c r="J71" s="2">
        <f t="shared" si="27"/>
        <v>3</v>
      </c>
      <c r="K71" s="2">
        <v>400</v>
      </c>
      <c r="L71" s="2">
        <f t="shared" si="25"/>
        <v>56.548667764616276</v>
      </c>
      <c r="M71" s="2">
        <f>L71/O71/H71*100</f>
        <v>0.12293188644481801</v>
      </c>
      <c r="N71" s="2">
        <f>L71*K71</f>
        <v>22619.46710584651</v>
      </c>
      <c r="O71" s="2">
        <v>230</v>
      </c>
      <c r="P71" s="2">
        <f>IF(O71="-","-",O71/E71)</f>
        <v>0.74193548387096775</v>
      </c>
      <c r="Q71" s="2">
        <f>IF(O71="-",0,O71/E71)</f>
        <v>0.74193548387096775</v>
      </c>
      <c r="R71" s="2">
        <f t="shared" si="28"/>
        <v>1256.6370614359173</v>
      </c>
      <c r="S71" s="2">
        <f>R71/E71/H71*100</f>
        <v>2.0268339700579312</v>
      </c>
      <c r="T71" s="2">
        <v>500</v>
      </c>
      <c r="U71" s="2">
        <v>2500</v>
      </c>
      <c r="V71" s="2">
        <v>165</v>
      </c>
      <c r="W71" s="2">
        <f t="shared" si="30"/>
        <v>100.53096491487338</v>
      </c>
      <c r="X71" s="2">
        <v>0.31</v>
      </c>
      <c r="Y71" s="2">
        <f t="shared" si="31"/>
        <v>16587609.210954105</v>
      </c>
      <c r="Z71" s="2">
        <v>230</v>
      </c>
      <c r="AA71" s="2">
        <f t="shared" si="32"/>
        <v>50.26548245743669</v>
      </c>
      <c r="AB71" s="2">
        <f>Z71/E71</f>
        <v>0.74193548387096775</v>
      </c>
      <c r="AC71" s="2">
        <v>1</v>
      </c>
      <c r="AD71" s="2">
        <v>45</v>
      </c>
      <c r="AE71" s="2">
        <v>177.68</v>
      </c>
    </row>
    <row r="72" spans="1:31" x14ac:dyDescent="0.3">
      <c r="A72" s="2" t="s">
        <v>236</v>
      </c>
      <c r="B72" s="2" t="s">
        <v>98</v>
      </c>
      <c r="C72" s="2" t="s">
        <v>264</v>
      </c>
      <c r="D72" s="2">
        <v>23.91</v>
      </c>
      <c r="E72" s="2">
        <v>310</v>
      </c>
      <c r="F72" s="2">
        <v>350</v>
      </c>
      <c r="G72" s="2">
        <f t="shared" si="29"/>
        <v>0</v>
      </c>
      <c r="H72" s="2">
        <v>200</v>
      </c>
      <c r="I72" s="2">
        <f t="shared" si="26"/>
        <v>200</v>
      </c>
      <c r="J72" s="2">
        <f t="shared" si="27"/>
        <v>3</v>
      </c>
      <c r="K72" s="2">
        <v>400</v>
      </c>
      <c r="L72" s="2">
        <f t="shared" si="25"/>
        <v>56.548667764616276</v>
      </c>
      <c r="M72" s="2">
        <f>L72/O72/H72*100</f>
        <v>0.12293188644481801</v>
      </c>
      <c r="N72" s="2">
        <f>L72*K72</f>
        <v>22619.46710584651</v>
      </c>
      <c r="O72" s="2">
        <v>230</v>
      </c>
      <c r="P72" s="2">
        <f>IF(O72="-","-",O72/E72)</f>
        <v>0.74193548387096775</v>
      </c>
      <c r="Q72" s="2">
        <f>IF(O72="-",0,O72/E72)</f>
        <v>0.74193548387096775</v>
      </c>
      <c r="R72" s="2">
        <f t="shared" si="28"/>
        <v>1256.6370614359173</v>
      </c>
      <c r="S72" s="2">
        <f>R72/E72/H72*100</f>
        <v>2.0268339700579312</v>
      </c>
      <c r="T72" s="2">
        <v>500</v>
      </c>
      <c r="U72" s="2">
        <v>2500</v>
      </c>
      <c r="V72" s="2">
        <v>165</v>
      </c>
      <c r="W72" s="2">
        <f t="shared" si="30"/>
        <v>100.53096491487338</v>
      </c>
      <c r="X72" s="2">
        <v>0.31</v>
      </c>
      <c r="Y72" s="2">
        <f t="shared" si="31"/>
        <v>16587609.210954105</v>
      </c>
      <c r="Z72" s="2">
        <v>230</v>
      </c>
      <c r="AA72" s="2">
        <f t="shared" si="32"/>
        <v>50.26548245743669</v>
      </c>
      <c r="AB72" s="2">
        <f>Z72/E72</f>
        <v>0.74193548387096775</v>
      </c>
      <c r="AC72" s="2">
        <v>1</v>
      </c>
      <c r="AD72" s="2">
        <v>45</v>
      </c>
      <c r="AE72" s="2">
        <v>188.02</v>
      </c>
    </row>
    <row r="73" spans="1:31" x14ac:dyDescent="0.3">
      <c r="A73" s="2" t="s">
        <v>236</v>
      </c>
      <c r="B73" s="2" t="s">
        <v>98</v>
      </c>
      <c r="C73" s="2" t="s">
        <v>135</v>
      </c>
      <c r="D73" s="2">
        <v>26.69</v>
      </c>
      <c r="E73" s="2">
        <v>310</v>
      </c>
      <c r="F73" s="2">
        <v>350</v>
      </c>
      <c r="G73" s="2">
        <f t="shared" si="29"/>
        <v>0</v>
      </c>
      <c r="H73" s="2">
        <v>200</v>
      </c>
      <c r="I73" s="2">
        <f t="shared" si="26"/>
        <v>200</v>
      </c>
      <c r="J73" s="2">
        <f t="shared" si="27"/>
        <v>3</v>
      </c>
      <c r="K73" s="2">
        <v>400</v>
      </c>
      <c r="L73" s="2">
        <f t="shared" si="25"/>
        <v>56.548667764616276</v>
      </c>
      <c r="M73" s="2">
        <f>L73/O73/H73*100</f>
        <v>0.12293188644481801</v>
      </c>
      <c r="N73" s="2">
        <f>L73*K73</f>
        <v>22619.46710584651</v>
      </c>
      <c r="O73" s="2">
        <v>230</v>
      </c>
      <c r="P73" s="2">
        <f>IF(O73="-","-",O73/E73)</f>
        <v>0.74193548387096775</v>
      </c>
      <c r="Q73" s="2">
        <f>IF(O73="-",0,O73/E73)</f>
        <v>0.74193548387096775</v>
      </c>
      <c r="R73" s="2">
        <f t="shared" si="28"/>
        <v>1256.6370614359173</v>
      </c>
      <c r="S73" s="2">
        <f>R73/E73/H73*100</f>
        <v>2.0268339700579312</v>
      </c>
      <c r="T73" s="2">
        <v>500</v>
      </c>
      <c r="U73" s="2">
        <v>2500</v>
      </c>
      <c r="V73" s="2">
        <v>165</v>
      </c>
      <c r="W73" s="2">
        <f t="shared" si="30"/>
        <v>75</v>
      </c>
      <c r="X73" s="2">
        <v>0.33</v>
      </c>
      <c r="Y73" s="2">
        <f t="shared" si="31"/>
        <v>12375000</v>
      </c>
      <c r="Z73" s="2">
        <v>115</v>
      </c>
      <c r="AA73" s="2">
        <f t="shared" ref="AA73:AA80" si="33">2.5*15</f>
        <v>37.5</v>
      </c>
      <c r="AB73" s="2">
        <f>Z73/E73</f>
        <v>0.37096774193548387</v>
      </c>
      <c r="AC73" s="2">
        <f t="shared" ref="AC73:AC80" si="34">15/2.5</f>
        <v>6</v>
      </c>
      <c r="AD73" s="2">
        <v>90</v>
      </c>
      <c r="AE73" s="2">
        <v>198.79</v>
      </c>
    </row>
    <row r="74" spans="1:31" x14ac:dyDescent="0.3">
      <c r="A74" s="2" t="s">
        <v>236</v>
      </c>
      <c r="B74" s="2" t="s">
        <v>98</v>
      </c>
      <c r="C74" s="2" t="s">
        <v>136</v>
      </c>
      <c r="D74" s="2">
        <v>24.09</v>
      </c>
      <c r="E74" s="2">
        <v>310</v>
      </c>
      <c r="F74" s="2">
        <v>350</v>
      </c>
      <c r="G74" s="2">
        <f t="shared" si="29"/>
        <v>0</v>
      </c>
      <c r="H74" s="2">
        <v>200</v>
      </c>
      <c r="I74" s="2">
        <f t="shared" si="26"/>
        <v>200</v>
      </c>
      <c r="J74" s="2">
        <f t="shared" si="27"/>
        <v>3</v>
      </c>
      <c r="K74" s="2">
        <v>400</v>
      </c>
      <c r="L74" s="2">
        <f t="shared" si="25"/>
        <v>56.548667764616276</v>
      </c>
      <c r="M74" s="2">
        <f>L74/O74/H74*100</f>
        <v>0.12293188644481801</v>
      </c>
      <c r="N74" s="2">
        <f>L74*K74</f>
        <v>22619.46710584651</v>
      </c>
      <c r="O74" s="2">
        <v>230</v>
      </c>
      <c r="P74" s="2">
        <f>IF(O74="-","-",O74/E74)</f>
        <v>0.74193548387096775</v>
      </c>
      <c r="Q74" s="2">
        <f>IF(O74="-",0,O74/E74)</f>
        <v>0.74193548387096775</v>
      </c>
      <c r="R74" s="2">
        <f t="shared" si="28"/>
        <v>1256.6370614359173</v>
      </c>
      <c r="S74" s="2">
        <f>R74/E74/H74*100</f>
        <v>2.0268339700579312</v>
      </c>
      <c r="T74" s="2">
        <v>500</v>
      </c>
      <c r="U74" s="2">
        <v>2500</v>
      </c>
      <c r="V74" s="2">
        <v>165</v>
      </c>
      <c r="W74" s="2">
        <f t="shared" si="30"/>
        <v>75</v>
      </c>
      <c r="X74" s="2">
        <v>0.33</v>
      </c>
      <c r="Y74" s="2">
        <f t="shared" si="31"/>
        <v>12375000</v>
      </c>
      <c r="Z74" s="2">
        <v>115</v>
      </c>
      <c r="AA74" s="2">
        <f t="shared" si="33"/>
        <v>37.5</v>
      </c>
      <c r="AB74" s="2">
        <f>Z74/E74</f>
        <v>0.37096774193548387</v>
      </c>
      <c r="AC74" s="2">
        <f t="shared" si="34"/>
        <v>6</v>
      </c>
      <c r="AD74" s="2">
        <v>90</v>
      </c>
      <c r="AE74" s="2">
        <v>157.63</v>
      </c>
    </row>
    <row r="75" spans="1:31" x14ac:dyDescent="0.3">
      <c r="A75" s="2" t="s">
        <v>236</v>
      </c>
      <c r="B75" s="2" t="s">
        <v>98</v>
      </c>
      <c r="C75" s="2" t="s">
        <v>133</v>
      </c>
      <c r="D75" s="2">
        <v>22.84</v>
      </c>
      <c r="E75" s="2">
        <v>310</v>
      </c>
      <c r="F75" s="2">
        <v>350</v>
      </c>
      <c r="G75" s="2">
        <f t="shared" si="29"/>
        <v>0</v>
      </c>
      <c r="H75" s="2">
        <v>200</v>
      </c>
      <c r="I75" s="2">
        <f t="shared" si="26"/>
        <v>200</v>
      </c>
      <c r="J75" s="2">
        <f t="shared" si="27"/>
        <v>3</v>
      </c>
      <c r="K75" s="2">
        <v>400</v>
      </c>
      <c r="L75" s="2">
        <f t="shared" si="25"/>
        <v>56.548667764616276</v>
      </c>
      <c r="M75" s="2">
        <f>L75/O75/H75*100</f>
        <v>0.12293188644481801</v>
      </c>
      <c r="N75" s="2">
        <f>L75*K75</f>
        <v>22619.46710584651</v>
      </c>
      <c r="O75" s="2">
        <v>230</v>
      </c>
      <c r="P75" s="2">
        <f>IF(O75="-","-",O75/E75)</f>
        <v>0.74193548387096775</v>
      </c>
      <c r="Q75" s="2">
        <f>IF(O75="-",0,O75/E75)</f>
        <v>0.74193548387096775</v>
      </c>
      <c r="R75" s="2">
        <f t="shared" si="28"/>
        <v>1256.6370614359173</v>
      </c>
      <c r="S75" s="2">
        <f>R75/E75/H75*100</f>
        <v>2.0268339700579312</v>
      </c>
      <c r="T75" s="2">
        <v>500</v>
      </c>
      <c r="U75" s="2">
        <v>2500</v>
      </c>
      <c r="V75" s="2">
        <v>165</v>
      </c>
      <c r="W75" s="2">
        <f t="shared" si="30"/>
        <v>75</v>
      </c>
      <c r="X75" s="2">
        <v>0.16</v>
      </c>
      <c r="Y75" s="2">
        <f t="shared" si="31"/>
        <v>12375000</v>
      </c>
      <c r="Z75" s="2">
        <v>230</v>
      </c>
      <c r="AA75" s="2">
        <f t="shared" si="33"/>
        <v>37.5</v>
      </c>
      <c r="AB75" s="2">
        <f>Z75/E75</f>
        <v>0.74193548387096775</v>
      </c>
      <c r="AC75" s="2">
        <f t="shared" si="34"/>
        <v>6</v>
      </c>
      <c r="AD75" s="2">
        <v>90</v>
      </c>
      <c r="AE75" s="2">
        <v>123.05</v>
      </c>
    </row>
    <row r="76" spans="1:31" x14ac:dyDescent="0.3">
      <c r="A76" s="2" t="s">
        <v>236</v>
      </c>
      <c r="B76" s="2" t="s">
        <v>98</v>
      </c>
      <c r="C76" s="2" t="s">
        <v>134</v>
      </c>
      <c r="D76" s="2">
        <v>26.02</v>
      </c>
      <c r="E76" s="2">
        <v>310</v>
      </c>
      <c r="F76" s="2">
        <v>350</v>
      </c>
      <c r="G76" s="2">
        <f t="shared" si="29"/>
        <v>0</v>
      </c>
      <c r="H76" s="2">
        <v>200</v>
      </c>
      <c r="I76" s="2">
        <f t="shared" si="26"/>
        <v>200</v>
      </c>
      <c r="J76" s="2">
        <f t="shared" si="27"/>
        <v>3</v>
      </c>
      <c r="K76" s="2">
        <v>400</v>
      </c>
      <c r="L76" s="2">
        <f t="shared" si="25"/>
        <v>56.548667764616276</v>
      </c>
      <c r="M76" s="2">
        <f>L76/O76/H76*100</f>
        <v>0.12293188644481801</v>
      </c>
      <c r="N76" s="2">
        <f>L76*K76</f>
        <v>22619.46710584651</v>
      </c>
      <c r="O76" s="2">
        <v>230</v>
      </c>
      <c r="P76" s="2">
        <f>IF(O76="-","-",O76/E76)</f>
        <v>0.74193548387096775</v>
      </c>
      <c r="Q76" s="2">
        <f>IF(O76="-",0,O76/E76)</f>
        <v>0.74193548387096775</v>
      </c>
      <c r="R76" s="2">
        <f t="shared" si="28"/>
        <v>1256.6370614359173</v>
      </c>
      <c r="S76" s="2">
        <f>R76/E76/H76*100</f>
        <v>2.0268339700579312</v>
      </c>
      <c r="T76" s="2">
        <v>500</v>
      </c>
      <c r="U76" s="2">
        <v>2500</v>
      </c>
      <c r="V76" s="2">
        <v>165</v>
      </c>
      <c r="W76" s="2">
        <f t="shared" si="30"/>
        <v>75</v>
      </c>
      <c r="X76" s="2">
        <v>0.16</v>
      </c>
      <c r="Y76" s="2">
        <f t="shared" si="31"/>
        <v>12375000</v>
      </c>
      <c r="Z76" s="2">
        <v>230</v>
      </c>
      <c r="AA76" s="2">
        <f t="shared" si="33"/>
        <v>37.5</v>
      </c>
      <c r="AB76" s="2">
        <f>Z76/E76</f>
        <v>0.74193548387096775</v>
      </c>
      <c r="AC76" s="2">
        <f t="shared" si="34"/>
        <v>6</v>
      </c>
      <c r="AD76" s="2">
        <v>90</v>
      </c>
      <c r="AE76" s="2">
        <v>138.75</v>
      </c>
    </row>
    <row r="77" spans="1:31" x14ac:dyDescent="0.3">
      <c r="A77" s="2" t="s">
        <v>236</v>
      </c>
      <c r="B77" s="2" t="s">
        <v>98</v>
      </c>
      <c r="C77" s="2" t="s">
        <v>139</v>
      </c>
      <c r="D77" s="2">
        <v>22.98</v>
      </c>
      <c r="E77" s="2">
        <v>310</v>
      </c>
      <c r="F77" s="2">
        <v>350</v>
      </c>
      <c r="G77" s="2">
        <f t="shared" si="29"/>
        <v>0</v>
      </c>
      <c r="H77" s="2">
        <v>200</v>
      </c>
      <c r="I77" s="2">
        <f t="shared" si="26"/>
        <v>200</v>
      </c>
      <c r="J77" s="2">
        <f t="shared" si="27"/>
        <v>3</v>
      </c>
      <c r="K77" s="2">
        <v>400</v>
      </c>
      <c r="L77" s="2">
        <f t="shared" si="25"/>
        <v>56.548667764616276</v>
      </c>
      <c r="M77" s="2">
        <f>L77/O77/H77*100</f>
        <v>0.12293188644481801</v>
      </c>
      <c r="N77" s="2">
        <f>L77*K77</f>
        <v>22619.46710584651</v>
      </c>
      <c r="O77" s="2">
        <v>230</v>
      </c>
      <c r="P77" s="2">
        <f>IF(O77="-","-",O77/E77)</f>
        <v>0.74193548387096775</v>
      </c>
      <c r="Q77" s="2">
        <f>IF(O77="-",0,O77/E77)</f>
        <v>0.74193548387096775</v>
      </c>
      <c r="R77" s="2">
        <f t="shared" si="28"/>
        <v>1256.6370614359173</v>
      </c>
      <c r="S77" s="2">
        <f>R77/E77/H77*100</f>
        <v>2.0268339700579312</v>
      </c>
      <c r="T77" s="2">
        <v>500</v>
      </c>
      <c r="U77" s="2">
        <v>2500</v>
      </c>
      <c r="V77" s="2">
        <v>165</v>
      </c>
      <c r="W77" s="2">
        <f t="shared" si="30"/>
        <v>75</v>
      </c>
      <c r="X77" s="2">
        <v>0.46</v>
      </c>
      <c r="Y77" s="2">
        <f t="shared" si="31"/>
        <v>12375000</v>
      </c>
      <c r="Z77" s="2">
        <v>115</v>
      </c>
      <c r="AA77" s="2">
        <f t="shared" si="33"/>
        <v>37.5</v>
      </c>
      <c r="AB77" s="2">
        <f>Z77/E77</f>
        <v>0.37096774193548387</v>
      </c>
      <c r="AC77" s="2">
        <f t="shared" si="34"/>
        <v>6</v>
      </c>
      <c r="AD77" s="2">
        <v>45</v>
      </c>
      <c r="AE77" s="2">
        <v>183.82</v>
      </c>
    </row>
    <row r="78" spans="1:31" x14ac:dyDescent="0.3">
      <c r="A78" s="2" t="s">
        <v>236</v>
      </c>
      <c r="B78" s="2" t="s">
        <v>98</v>
      </c>
      <c r="C78" s="2" t="s">
        <v>140</v>
      </c>
      <c r="D78" s="2">
        <v>28.48</v>
      </c>
      <c r="E78" s="2">
        <v>310</v>
      </c>
      <c r="F78" s="2">
        <v>350</v>
      </c>
      <c r="G78" s="2">
        <f t="shared" si="29"/>
        <v>0</v>
      </c>
      <c r="H78" s="2">
        <v>200</v>
      </c>
      <c r="I78" s="2">
        <f t="shared" si="26"/>
        <v>200</v>
      </c>
      <c r="J78" s="2">
        <f t="shared" si="27"/>
        <v>3</v>
      </c>
      <c r="K78" s="2">
        <v>400</v>
      </c>
      <c r="L78" s="2">
        <f t="shared" si="25"/>
        <v>56.548667764616276</v>
      </c>
      <c r="M78" s="2">
        <f>L78/O78/H78*100</f>
        <v>0.12293188644481801</v>
      </c>
      <c r="N78" s="2">
        <f>L78*K78</f>
        <v>22619.46710584651</v>
      </c>
      <c r="O78" s="2">
        <v>230</v>
      </c>
      <c r="P78" s="2">
        <f>IF(O78="-","-",O78/E78)</f>
        <v>0.74193548387096775</v>
      </c>
      <c r="Q78" s="2">
        <f>IF(O78="-",0,O78/E78)</f>
        <v>0.74193548387096775</v>
      </c>
      <c r="R78" s="2">
        <f t="shared" si="28"/>
        <v>1256.6370614359173</v>
      </c>
      <c r="S78" s="2">
        <f>R78/E78/H78*100</f>
        <v>2.0268339700579312</v>
      </c>
      <c r="T78" s="2">
        <v>500</v>
      </c>
      <c r="U78" s="2">
        <v>2500</v>
      </c>
      <c r="V78" s="2">
        <v>165</v>
      </c>
      <c r="W78" s="2">
        <f t="shared" si="30"/>
        <v>75</v>
      </c>
      <c r="X78" s="2">
        <v>0.46</v>
      </c>
      <c r="Y78" s="2">
        <f t="shared" si="31"/>
        <v>12375000</v>
      </c>
      <c r="Z78" s="2">
        <v>115</v>
      </c>
      <c r="AA78" s="2">
        <f t="shared" si="33"/>
        <v>37.5</v>
      </c>
      <c r="AB78" s="2">
        <f>Z78/E78</f>
        <v>0.37096774193548387</v>
      </c>
      <c r="AC78" s="2">
        <f t="shared" si="34"/>
        <v>6</v>
      </c>
      <c r="AD78" s="2">
        <v>45</v>
      </c>
      <c r="AE78" s="2">
        <v>221</v>
      </c>
    </row>
    <row r="79" spans="1:31" x14ac:dyDescent="0.3">
      <c r="A79" s="2" t="s">
        <v>236</v>
      </c>
      <c r="B79" s="2" t="s">
        <v>98</v>
      </c>
      <c r="C79" s="2" t="s">
        <v>137</v>
      </c>
      <c r="D79" s="2">
        <v>29.11</v>
      </c>
      <c r="E79" s="2">
        <v>310</v>
      </c>
      <c r="F79" s="2">
        <v>350</v>
      </c>
      <c r="G79" s="2">
        <f t="shared" si="29"/>
        <v>0</v>
      </c>
      <c r="H79" s="2">
        <v>200</v>
      </c>
      <c r="I79" s="2">
        <f t="shared" si="26"/>
        <v>200</v>
      </c>
      <c r="J79" s="2">
        <f t="shared" si="27"/>
        <v>3</v>
      </c>
      <c r="K79" s="2">
        <v>400</v>
      </c>
      <c r="L79" s="2">
        <f t="shared" si="25"/>
        <v>56.548667764616276</v>
      </c>
      <c r="M79" s="2">
        <f>L79/O79/H79*100</f>
        <v>0.12293188644481801</v>
      </c>
      <c r="N79" s="2">
        <f>L79*K79</f>
        <v>22619.46710584651</v>
      </c>
      <c r="O79" s="2">
        <v>230</v>
      </c>
      <c r="P79" s="2">
        <f>IF(O79="-","-",O79/E79)</f>
        <v>0.74193548387096775</v>
      </c>
      <c r="Q79" s="2">
        <f>IF(O79="-",0,O79/E79)</f>
        <v>0.74193548387096775</v>
      </c>
      <c r="R79" s="2">
        <f t="shared" si="28"/>
        <v>1256.6370614359173</v>
      </c>
      <c r="S79" s="2">
        <f>R79/E79/H79*100</f>
        <v>2.0268339700579312</v>
      </c>
      <c r="T79" s="2">
        <v>500</v>
      </c>
      <c r="U79" s="2">
        <v>2500</v>
      </c>
      <c r="V79" s="2">
        <v>165</v>
      </c>
      <c r="W79" s="2">
        <f t="shared" si="30"/>
        <v>75</v>
      </c>
      <c r="X79" s="2">
        <v>0.23</v>
      </c>
      <c r="Y79" s="2">
        <f t="shared" si="31"/>
        <v>12375000</v>
      </c>
      <c r="Z79" s="2">
        <v>230</v>
      </c>
      <c r="AA79" s="2">
        <f t="shared" si="33"/>
        <v>37.5</v>
      </c>
      <c r="AB79" s="2">
        <f>Z79/E79</f>
        <v>0.74193548387096775</v>
      </c>
      <c r="AC79" s="2">
        <f t="shared" si="34"/>
        <v>6</v>
      </c>
      <c r="AD79" s="2">
        <v>45</v>
      </c>
      <c r="AE79" s="2">
        <v>173.56</v>
      </c>
    </row>
    <row r="80" spans="1:31" x14ac:dyDescent="0.3">
      <c r="A80" s="2" t="s">
        <v>236</v>
      </c>
      <c r="B80" s="2" t="s">
        <v>98</v>
      </c>
      <c r="C80" s="2" t="s">
        <v>138</v>
      </c>
      <c r="D80" s="2">
        <v>23.91</v>
      </c>
      <c r="E80" s="2">
        <v>310</v>
      </c>
      <c r="F80" s="2">
        <v>350</v>
      </c>
      <c r="G80" s="2">
        <f t="shared" si="29"/>
        <v>0</v>
      </c>
      <c r="H80" s="2">
        <v>200</v>
      </c>
      <c r="I80" s="2">
        <f t="shared" si="26"/>
        <v>200</v>
      </c>
      <c r="J80" s="2">
        <f t="shared" si="27"/>
        <v>3</v>
      </c>
      <c r="K80" s="2">
        <v>400</v>
      </c>
      <c r="L80" s="2">
        <f t="shared" si="25"/>
        <v>56.548667764616276</v>
      </c>
      <c r="M80" s="2">
        <f>L80/O80/H80*100</f>
        <v>0.12293188644481801</v>
      </c>
      <c r="N80" s="2">
        <f>L80*K80</f>
        <v>22619.46710584651</v>
      </c>
      <c r="O80" s="2">
        <v>230</v>
      </c>
      <c r="P80" s="2">
        <f>IF(O80="-","-",O80/E80)</f>
        <v>0.74193548387096775</v>
      </c>
      <c r="Q80" s="2">
        <f>IF(O80="-",0,O80/E80)</f>
        <v>0.74193548387096775</v>
      </c>
      <c r="R80" s="2">
        <f t="shared" si="28"/>
        <v>1256.6370614359173</v>
      </c>
      <c r="S80" s="2">
        <f>R80/E80/H80*100</f>
        <v>2.0268339700579312</v>
      </c>
      <c r="T80" s="2">
        <v>500</v>
      </c>
      <c r="U80" s="2">
        <v>2500</v>
      </c>
      <c r="V80" s="2">
        <v>165</v>
      </c>
      <c r="W80" s="2">
        <f t="shared" si="30"/>
        <v>75</v>
      </c>
      <c r="X80" s="2">
        <v>0.23</v>
      </c>
      <c r="Y80" s="2">
        <f t="shared" si="31"/>
        <v>12375000</v>
      </c>
      <c r="Z80" s="2">
        <v>230</v>
      </c>
      <c r="AA80" s="2">
        <f t="shared" si="33"/>
        <v>37.5</v>
      </c>
      <c r="AB80" s="2">
        <f>Z80/E80</f>
        <v>0.74193548387096775</v>
      </c>
      <c r="AC80" s="2">
        <f t="shared" si="34"/>
        <v>6</v>
      </c>
      <c r="AD80" s="2">
        <v>45</v>
      </c>
      <c r="AE80" s="2">
        <v>206.21</v>
      </c>
    </row>
    <row r="81" spans="1:31" x14ac:dyDescent="0.3">
      <c r="A81" s="2" t="s">
        <v>309</v>
      </c>
      <c r="B81" s="2" t="s">
        <v>95</v>
      </c>
      <c r="C81" s="2" t="s">
        <v>4</v>
      </c>
      <c r="D81" s="2">
        <v>31</v>
      </c>
      <c r="E81" s="2">
        <v>355</v>
      </c>
      <c r="F81" s="2">
        <f t="shared" ref="F81:F87" si="35">16*25.4</f>
        <v>406.4</v>
      </c>
      <c r="G81" s="2">
        <v>102</v>
      </c>
      <c r="H81" s="2">
        <f t="shared" ref="H81:H87" si="36">6*25.4</f>
        <v>152.39999999999998</v>
      </c>
      <c r="I81" s="2">
        <f t="shared" ref="I81:I87" si="37">15*25.4</f>
        <v>381</v>
      </c>
      <c r="J81" s="2">
        <v>3</v>
      </c>
      <c r="K81" s="2" t="s">
        <v>210</v>
      </c>
      <c r="L81" s="2" t="s">
        <v>210</v>
      </c>
      <c r="M81" s="2" t="s">
        <v>210</v>
      </c>
      <c r="N81" s="2">
        <v>0</v>
      </c>
      <c r="O81" s="2" t="s">
        <v>210</v>
      </c>
      <c r="P81" s="2" t="s">
        <v>210</v>
      </c>
      <c r="Q81" s="2">
        <v>5</v>
      </c>
      <c r="R81" s="2">
        <f t="shared" ref="R81:R87" si="38">28.7^2*PI()/2</f>
        <v>1293.8492264176882</v>
      </c>
      <c r="S81" s="2">
        <f>R81/E81/H81*100</f>
        <v>2.3914998085425463</v>
      </c>
      <c r="T81" s="2">
        <v>414</v>
      </c>
      <c r="U81" s="2" t="s">
        <v>210</v>
      </c>
      <c r="V81" s="2" t="s">
        <v>210</v>
      </c>
      <c r="W81" s="2">
        <v>0</v>
      </c>
      <c r="X81" s="2">
        <v>0</v>
      </c>
      <c r="Y81" s="2">
        <v>0</v>
      </c>
      <c r="Z81" s="2" t="s">
        <v>210</v>
      </c>
      <c r="AA81" s="2" t="s">
        <v>210</v>
      </c>
      <c r="AB81" s="2">
        <v>5</v>
      </c>
      <c r="AC81" s="2">
        <v>1</v>
      </c>
      <c r="AD81" s="2">
        <v>90</v>
      </c>
      <c r="AE81" s="2">
        <v>90.29440000000001</v>
      </c>
    </row>
    <row r="82" spans="1:31" x14ac:dyDescent="0.3">
      <c r="A82" s="2" t="s">
        <v>309</v>
      </c>
      <c r="B82" s="2" t="s">
        <v>95</v>
      </c>
      <c r="C82" s="2" t="s">
        <v>10</v>
      </c>
      <c r="D82" s="2">
        <v>31</v>
      </c>
      <c r="E82" s="2">
        <v>355</v>
      </c>
      <c r="F82" s="2">
        <f t="shared" si="35"/>
        <v>406.4</v>
      </c>
      <c r="G82" s="2">
        <v>102</v>
      </c>
      <c r="H82" s="2">
        <f t="shared" si="36"/>
        <v>152.39999999999998</v>
      </c>
      <c r="I82" s="2">
        <f t="shared" si="37"/>
        <v>381</v>
      </c>
      <c r="J82" s="2">
        <v>3</v>
      </c>
      <c r="K82" s="2" t="s">
        <v>210</v>
      </c>
      <c r="L82" s="2" t="s">
        <v>210</v>
      </c>
      <c r="M82" s="2" t="s">
        <v>210</v>
      </c>
      <c r="N82" s="2">
        <v>0</v>
      </c>
      <c r="O82" s="2" t="s">
        <v>210</v>
      </c>
      <c r="P82" s="2" t="s">
        <v>210</v>
      </c>
      <c r="Q82" s="2">
        <v>5</v>
      </c>
      <c r="R82" s="2">
        <f t="shared" si="38"/>
        <v>1293.8492264176882</v>
      </c>
      <c r="S82" s="2">
        <f>R82/E82/H82*100</f>
        <v>2.3914998085425463</v>
      </c>
      <c r="T82" s="2">
        <v>414</v>
      </c>
      <c r="U82" s="2">
        <v>1875</v>
      </c>
      <c r="V82" s="2">
        <v>104.8</v>
      </c>
      <c r="W82" s="2">
        <f>Z82*SIN(AD82*PI()/180)*X82*H82/100</f>
        <v>197.80605599999996</v>
      </c>
      <c r="X82" s="2">
        <v>0.73</v>
      </c>
      <c r="Y82" s="2">
        <f>W82*V82*1000</f>
        <v>20730074.668799996</v>
      </c>
      <c r="Z82" s="2">
        <f>25.4*7</f>
        <v>177.79999999999998</v>
      </c>
      <c r="AA82" s="2" t="s">
        <v>96</v>
      </c>
      <c r="AB82" s="2">
        <f>Z82/E82</f>
        <v>0.50084507042253512</v>
      </c>
      <c r="AC82" s="2">
        <v>1</v>
      </c>
      <c r="AD82" s="2">
        <v>90</v>
      </c>
      <c r="AE82" s="2">
        <v>115.20320000000001</v>
      </c>
    </row>
    <row r="83" spans="1:31" x14ac:dyDescent="0.3">
      <c r="A83" s="2" t="s">
        <v>309</v>
      </c>
      <c r="B83" s="2" t="s">
        <v>95</v>
      </c>
      <c r="C83" s="2" t="s">
        <v>6</v>
      </c>
      <c r="D83" s="2">
        <v>31</v>
      </c>
      <c r="E83" s="2">
        <v>355</v>
      </c>
      <c r="F83" s="2">
        <f t="shared" si="35"/>
        <v>406.4</v>
      </c>
      <c r="G83" s="2">
        <v>102</v>
      </c>
      <c r="H83" s="2">
        <f t="shared" si="36"/>
        <v>152.39999999999998</v>
      </c>
      <c r="I83" s="2">
        <f t="shared" si="37"/>
        <v>381</v>
      </c>
      <c r="J83" s="2">
        <v>3</v>
      </c>
      <c r="K83" s="2" t="s">
        <v>210</v>
      </c>
      <c r="L83" s="2" t="s">
        <v>210</v>
      </c>
      <c r="M83" s="2" t="s">
        <v>210</v>
      </c>
      <c r="N83" s="2">
        <v>0</v>
      </c>
      <c r="O83" s="2" t="s">
        <v>210</v>
      </c>
      <c r="P83" s="2" t="s">
        <v>210</v>
      </c>
      <c r="Q83" s="2">
        <v>5</v>
      </c>
      <c r="R83" s="2">
        <f t="shared" si="38"/>
        <v>1293.8492264176882</v>
      </c>
      <c r="S83" s="2">
        <f>R83/E83/H83*100</f>
        <v>2.3914998085425463</v>
      </c>
      <c r="T83" s="2">
        <v>414</v>
      </c>
      <c r="U83" s="2">
        <v>1875</v>
      </c>
      <c r="V83" s="2">
        <v>104.8</v>
      </c>
      <c r="W83" s="2">
        <f>Z83*SIN(AD83*PI()/180)*X83*H83/100</f>
        <v>141.29003999999998</v>
      </c>
      <c r="X83" s="2">
        <v>0.73</v>
      </c>
      <c r="Y83" s="2">
        <f>W83*V83*1000</f>
        <v>14807196.191999998</v>
      </c>
      <c r="Z83" s="2">
        <f>25.4*5</f>
        <v>127</v>
      </c>
      <c r="AA83" s="2" t="s">
        <v>96</v>
      </c>
      <c r="AB83" s="2">
        <f>Z83/E83</f>
        <v>0.35774647887323946</v>
      </c>
      <c r="AC83" s="2">
        <v>1</v>
      </c>
      <c r="AD83" s="2">
        <v>90</v>
      </c>
      <c r="AE83" s="2">
        <v>127.6576</v>
      </c>
    </row>
    <row r="84" spans="1:31" x14ac:dyDescent="0.3">
      <c r="A84" s="2" t="s">
        <v>309</v>
      </c>
      <c r="B84" s="2" t="s">
        <v>95</v>
      </c>
      <c r="C84" s="2" t="s">
        <v>7</v>
      </c>
      <c r="D84" s="2">
        <v>31</v>
      </c>
      <c r="E84" s="2">
        <v>355</v>
      </c>
      <c r="F84" s="2">
        <f t="shared" si="35"/>
        <v>406.4</v>
      </c>
      <c r="G84" s="2">
        <v>102</v>
      </c>
      <c r="H84" s="2">
        <f t="shared" si="36"/>
        <v>152.39999999999998</v>
      </c>
      <c r="I84" s="2">
        <f t="shared" si="37"/>
        <v>381</v>
      </c>
      <c r="J84" s="2">
        <v>3</v>
      </c>
      <c r="K84" s="2" t="s">
        <v>210</v>
      </c>
      <c r="L84" s="2" t="s">
        <v>210</v>
      </c>
      <c r="M84" s="2" t="s">
        <v>210</v>
      </c>
      <c r="N84" s="2">
        <v>0</v>
      </c>
      <c r="O84" s="2" t="s">
        <v>210</v>
      </c>
      <c r="P84" s="2" t="s">
        <v>210</v>
      </c>
      <c r="Q84" s="2">
        <v>5</v>
      </c>
      <c r="R84" s="2">
        <f t="shared" si="38"/>
        <v>1293.8492264176882</v>
      </c>
      <c r="S84" s="2">
        <f>R84/E84/H84*100</f>
        <v>2.3914998085425463</v>
      </c>
      <c r="T84" s="2">
        <v>414</v>
      </c>
      <c r="U84" s="2">
        <v>1875</v>
      </c>
      <c r="V84" s="2">
        <v>104.8</v>
      </c>
      <c r="W84" s="2">
        <f>Z84*SIN(AD84*PI()/180)*X84*H84/100</f>
        <v>141.78603100335721</v>
      </c>
      <c r="X84" s="2">
        <v>0.74</v>
      </c>
      <c r="Y84" s="2">
        <f>W84*V84*1000</f>
        <v>14859176.049151834</v>
      </c>
      <c r="Z84" s="2">
        <f>25.4*7</f>
        <v>177.79999999999998</v>
      </c>
      <c r="AA84" s="2" t="s">
        <v>96</v>
      </c>
      <c r="AB84" s="2">
        <f>Z84/E84</f>
        <v>0.50084507042253512</v>
      </c>
      <c r="AC84" s="2">
        <v>1</v>
      </c>
      <c r="AD84" s="2">
        <v>45</v>
      </c>
      <c r="AE84" s="2">
        <v>165.46560000000002</v>
      </c>
    </row>
    <row r="85" spans="1:31" x14ac:dyDescent="0.3">
      <c r="A85" s="2" t="s">
        <v>309</v>
      </c>
      <c r="B85" s="2" t="s">
        <v>95</v>
      </c>
      <c r="C85" s="2" t="s">
        <v>8</v>
      </c>
      <c r="D85" s="2">
        <v>31</v>
      </c>
      <c r="E85" s="2">
        <v>355</v>
      </c>
      <c r="F85" s="2">
        <f t="shared" si="35"/>
        <v>406.4</v>
      </c>
      <c r="G85" s="2">
        <v>102</v>
      </c>
      <c r="H85" s="2">
        <f t="shared" si="36"/>
        <v>152.39999999999998</v>
      </c>
      <c r="I85" s="2">
        <f t="shared" si="37"/>
        <v>381</v>
      </c>
      <c r="J85" s="2">
        <v>3</v>
      </c>
      <c r="K85" s="2" t="s">
        <v>210</v>
      </c>
      <c r="L85" s="2" t="s">
        <v>210</v>
      </c>
      <c r="M85" s="2" t="s">
        <v>210</v>
      </c>
      <c r="N85" s="2">
        <v>0</v>
      </c>
      <c r="O85" s="2" t="s">
        <v>210</v>
      </c>
      <c r="P85" s="2" t="s">
        <v>210</v>
      </c>
      <c r="Q85" s="2">
        <v>5</v>
      </c>
      <c r="R85" s="2">
        <f t="shared" si="38"/>
        <v>1293.8492264176882</v>
      </c>
      <c r="S85" s="2">
        <f>R85/E85/H85*100</f>
        <v>2.3914998085425463</v>
      </c>
      <c r="T85" s="2">
        <v>414</v>
      </c>
      <c r="U85" s="2">
        <v>1875</v>
      </c>
      <c r="V85" s="2">
        <v>104.8</v>
      </c>
      <c r="W85" s="2">
        <f>Z85*SIN(AD85*PI()/180)*X85*H85/100</f>
        <v>142.33346741649763</v>
      </c>
      <c r="X85" s="2">
        <v>1.04</v>
      </c>
      <c r="Y85" s="2">
        <f>W85*V85*1000</f>
        <v>14916547.38524895</v>
      </c>
      <c r="Z85" s="2">
        <f>25.4*5</f>
        <v>127</v>
      </c>
      <c r="AA85" s="2" t="s">
        <v>96</v>
      </c>
      <c r="AB85" s="2">
        <f>Z85/E85</f>
        <v>0.35774647887323946</v>
      </c>
      <c r="AC85" s="2">
        <v>1</v>
      </c>
      <c r="AD85" s="2">
        <v>45</v>
      </c>
      <c r="AE85" s="2">
        <v>177.92000000000002</v>
      </c>
    </row>
    <row r="86" spans="1:31" x14ac:dyDescent="0.3">
      <c r="A86" s="2" t="s">
        <v>309</v>
      </c>
      <c r="B86" s="2" t="s">
        <v>95</v>
      </c>
      <c r="C86" s="2" t="s">
        <v>5</v>
      </c>
      <c r="D86" s="2">
        <v>31</v>
      </c>
      <c r="E86" s="2">
        <v>355</v>
      </c>
      <c r="F86" s="2">
        <f t="shared" si="35"/>
        <v>406.4</v>
      </c>
      <c r="G86" s="2">
        <v>102</v>
      </c>
      <c r="H86" s="2">
        <f t="shared" si="36"/>
        <v>152.39999999999998</v>
      </c>
      <c r="I86" s="2">
        <f t="shared" si="37"/>
        <v>381</v>
      </c>
      <c r="J86" s="2">
        <v>3</v>
      </c>
      <c r="K86" s="2">
        <v>345</v>
      </c>
      <c r="L86" s="2">
        <f>9.5^2*2*PI()/4</f>
        <v>141.7643684932394</v>
      </c>
      <c r="M86" s="2">
        <f>L86/O86/H86*100</f>
        <v>0.26129561564267489</v>
      </c>
      <c r="N86" s="2">
        <v>54200</v>
      </c>
      <c r="O86" s="2">
        <v>356</v>
      </c>
      <c r="P86" s="2">
        <f>IF(O86="-","-",IF(N86=0,"-",O86/E86))</f>
        <v>1.0028169014084507</v>
      </c>
      <c r="Q86" s="2">
        <v>1</v>
      </c>
      <c r="R86" s="2">
        <f t="shared" si="38"/>
        <v>1293.8492264176882</v>
      </c>
      <c r="S86" s="2">
        <f>R86/E86/H86*100</f>
        <v>2.3914998085425463</v>
      </c>
      <c r="T86" s="2">
        <v>414</v>
      </c>
      <c r="U86" s="2" t="s">
        <v>210</v>
      </c>
      <c r="V86" s="2" t="s">
        <v>210</v>
      </c>
      <c r="W86" s="2">
        <v>0</v>
      </c>
      <c r="X86" s="2">
        <v>0</v>
      </c>
      <c r="Y86" s="2">
        <v>0</v>
      </c>
      <c r="Z86" s="2" t="s">
        <v>210</v>
      </c>
      <c r="AA86" s="2" t="s">
        <v>210</v>
      </c>
      <c r="AB86" s="2">
        <v>5</v>
      </c>
      <c r="AC86" s="2">
        <v>1</v>
      </c>
      <c r="AD86" s="2">
        <v>90</v>
      </c>
      <c r="AE86" s="2">
        <v>153.45600000000002</v>
      </c>
    </row>
    <row r="87" spans="1:31" x14ac:dyDescent="0.3">
      <c r="A87" s="2" t="s">
        <v>309</v>
      </c>
      <c r="B87" s="2" t="s">
        <v>95</v>
      </c>
      <c r="C87" s="2" t="s">
        <v>9</v>
      </c>
      <c r="D87" s="2">
        <v>31</v>
      </c>
      <c r="E87" s="2">
        <v>355</v>
      </c>
      <c r="F87" s="2">
        <f t="shared" si="35"/>
        <v>406.4</v>
      </c>
      <c r="G87" s="2">
        <v>102</v>
      </c>
      <c r="H87" s="2">
        <f t="shared" si="36"/>
        <v>152.39999999999998</v>
      </c>
      <c r="I87" s="2">
        <f t="shared" si="37"/>
        <v>381</v>
      </c>
      <c r="J87" s="2">
        <v>3</v>
      </c>
      <c r="K87" s="2">
        <v>345</v>
      </c>
      <c r="L87" s="2">
        <f>9.5^2*2*PI()/4</f>
        <v>141.7643684932394</v>
      </c>
      <c r="M87" s="2">
        <f>L87/O87/H87*100</f>
        <v>0.26158953647016947</v>
      </c>
      <c r="N87" s="2">
        <v>49000</v>
      </c>
      <c r="O87" s="2">
        <v>355.6</v>
      </c>
      <c r="P87" s="2">
        <f>IF(O87="-","-",IF(N87=0,"-",O87/E87))</f>
        <v>1.0016901408450705</v>
      </c>
      <c r="Q87" s="2">
        <v>1</v>
      </c>
      <c r="R87" s="2">
        <f t="shared" si="38"/>
        <v>1293.8492264176882</v>
      </c>
      <c r="S87" s="2">
        <f>R87/E87/H87*100</f>
        <v>2.3914998085425463</v>
      </c>
      <c r="T87" s="2">
        <v>414</v>
      </c>
      <c r="U87" s="2">
        <v>1875</v>
      </c>
      <c r="V87" s="2">
        <v>104.8</v>
      </c>
      <c r="W87" s="2">
        <f>Z87*SIN(AD87*PI()/180)*X87*H87/100</f>
        <v>140.90294399999996</v>
      </c>
      <c r="X87" s="2">
        <v>0.52</v>
      </c>
      <c r="Y87" s="2">
        <f>W87*V87*1000</f>
        <v>14766628.531199995</v>
      </c>
      <c r="Z87" s="2">
        <f>25.4*7</f>
        <v>177.79999999999998</v>
      </c>
      <c r="AA87" s="2" t="s">
        <v>96</v>
      </c>
      <c r="AB87" s="2">
        <f>Z87/E87</f>
        <v>0.50084507042253512</v>
      </c>
      <c r="AC87" s="2">
        <v>1</v>
      </c>
      <c r="AD87" s="2">
        <v>90</v>
      </c>
      <c r="AE87" s="2">
        <v>206.83200000000002</v>
      </c>
    </row>
    <row r="88" spans="1:31" x14ac:dyDescent="0.3">
      <c r="A88" s="2" t="s">
        <v>183</v>
      </c>
      <c r="B88" s="2" t="s">
        <v>95</v>
      </c>
      <c r="C88" s="2" t="s">
        <v>97</v>
      </c>
      <c r="D88" s="2">
        <v>18.600000000000001</v>
      </c>
      <c r="E88" s="2">
        <v>360</v>
      </c>
      <c r="F88" s="2">
        <v>400</v>
      </c>
      <c r="G88" s="2">
        <v>100</v>
      </c>
      <c r="H88" s="2">
        <v>180</v>
      </c>
      <c r="I88" s="2">
        <v>450</v>
      </c>
      <c r="J88" s="2">
        <v>2.5</v>
      </c>
      <c r="K88" s="2" t="s">
        <v>210</v>
      </c>
      <c r="L88" s="2" t="s">
        <v>210</v>
      </c>
      <c r="M88" s="2" t="s">
        <v>210</v>
      </c>
      <c r="N88" s="2">
        <v>0</v>
      </c>
      <c r="O88" s="2" t="s">
        <v>210</v>
      </c>
      <c r="P88" s="2" t="s">
        <v>210</v>
      </c>
      <c r="Q88" s="2">
        <v>5</v>
      </c>
      <c r="R88" s="2"/>
      <c r="S88" s="2">
        <v>2.8</v>
      </c>
      <c r="T88" s="2">
        <v>734</v>
      </c>
      <c r="U88" s="2" t="s">
        <v>210</v>
      </c>
      <c r="V88" s="2" t="s">
        <v>210</v>
      </c>
      <c r="W88" s="2">
        <v>0</v>
      </c>
      <c r="X88" s="2">
        <v>0</v>
      </c>
      <c r="Y88" s="2">
        <v>0</v>
      </c>
      <c r="Z88" s="2" t="s">
        <v>210</v>
      </c>
      <c r="AA88" s="2" t="s">
        <v>210</v>
      </c>
      <c r="AB88" s="2">
        <v>5</v>
      </c>
      <c r="AC88" s="2">
        <v>1</v>
      </c>
      <c r="AD88" s="2">
        <v>90</v>
      </c>
      <c r="AE88" s="2">
        <v>88</v>
      </c>
    </row>
    <row r="89" spans="1:31" x14ac:dyDescent="0.3">
      <c r="A89" s="2" t="s">
        <v>310</v>
      </c>
      <c r="B89" s="2" t="s">
        <v>95</v>
      </c>
      <c r="C89" s="2" t="s">
        <v>266</v>
      </c>
      <c r="D89" s="2">
        <v>18.600000000000001</v>
      </c>
      <c r="E89" s="2">
        <v>360</v>
      </c>
      <c r="F89" s="2">
        <v>400</v>
      </c>
      <c r="G89" s="2">
        <v>100</v>
      </c>
      <c r="H89" s="2">
        <v>180</v>
      </c>
      <c r="I89" s="2">
        <v>450</v>
      </c>
      <c r="J89" s="2">
        <v>2.5</v>
      </c>
      <c r="K89" s="2">
        <v>539</v>
      </c>
      <c r="L89" s="2">
        <f t="shared" ref="L89:L100" si="39">PI()*6^2/2</f>
        <v>56.548667764616276</v>
      </c>
      <c r="M89" s="2">
        <v>0.105</v>
      </c>
      <c r="N89" s="2">
        <f>L89*K89</f>
        <v>30479.731925128173</v>
      </c>
      <c r="O89" s="2">
        <v>300</v>
      </c>
      <c r="P89" s="2">
        <f>IF(O89="-","-",IF(N89=0,"-",O89/E89))</f>
        <v>0.83333333333333337</v>
      </c>
      <c r="Q89" s="2">
        <f>IF(O89="-",0,O89/E89)</f>
        <v>0.83333333333333337</v>
      </c>
      <c r="R89" s="2">
        <v>1810</v>
      </c>
      <c r="S89" s="2">
        <v>2.8</v>
      </c>
      <c r="T89" s="2">
        <v>734</v>
      </c>
      <c r="U89" s="2" t="s">
        <v>210</v>
      </c>
      <c r="V89" s="2" t="s">
        <v>210</v>
      </c>
      <c r="W89" s="2">
        <v>0</v>
      </c>
      <c r="X89" s="2">
        <v>0</v>
      </c>
      <c r="Y89" s="2">
        <v>0</v>
      </c>
      <c r="Z89" s="2" t="s">
        <v>210</v>
      </c>
      <c r="AA89" s="2" t="s">
        <v>210</v>
      </c>
      <c r="AB89" s="2">
        <v>5</v>
      </c>
      <c r="AC89" s="2">
        <v>1</v>
      </c>
      <c r="AD89" s="2">
        <v>90</v>
      </c>
      <c r="AE89" s="2">
        <v>135.9</v>
      </c>
    </row>
    <row r="90" spans="1:31" x14ac:dyDescent="0.3">
      <c r="A90" s="2" t="s">
        <v>310</v>
      </c>
      <c r="B90" s="2" t="s">
        <v>95</v>
      </c>
      <c r="C90" s="2" t="s">
        <v>214</v>
      </c>
      <c r="D90" s="2">
        <v>18.600000000000001</v>
      </c>
      <c r="E90" s="2">
        <v>360</v>
      </c>
      <c r="F90" s="2">
        <v>400</v>
      </c>
      <c r="G90" s="2">
        <v>100</v>
      </c>
      <c r="H90" s="2">
        <v>180</v>
      </c>
      <c r="I90" s="2">
        <v>450</v>
      </c>
      <c r="J90" s="2">
        <v>2.5</v>
      </c>
      <c r="K90" s="2">
        <v>539</v>
      </c>
      <c r="L90" s="2">
        <f t="shared" si="39"/>
        <v>56.548667764616276</v>
      </c>
      <c r="M90" s="2">
        <v>0.105</v>
      </c>
      <c r="N90" s="2">
        <f>L90*K90</f>
        <v>30479.731925128173</v>
      </c>
      <c r="O90" s="2">
        <v>300</v>
      </c>
      <c r="P90" s="2">
        <f>IF(O90="-","-",IF(N90=0,"-",O90/E90))</f>
        <v>0.83333333333333337</v>
      </c>
      <c r="Q90" s="2">
        <f>IF(O90="-",0,O90/E90)</f>
        <v>0.83333333333333337</v>
      </c>
      <c r="R90" s="2">
        <v>1810</v>
      </c>
      <c r="S90" s="2">
        <v>2.8</v>
      </c>
      <c r="T90" s="2">
        <v>734</v>
      </c>
      <c r="U90" s="2">
        <v>2848</v>
      </c>
      <c r="V90" s="2">
        <v>174.3</v>
      </c>
      <c r="W90" s="2">
        <f>AA90*2</f>
        <v>26.599999999999998</v>
      </c>
      <c r="X90" s="2">
        <f>W90/Z90/H90*100/SIN(AD90*PI()/180)</f>
        <v>0.12962962962962962</v>
      </c>
      <c r="Y90" s="2">
        <f>W90*V90*1000</f>
        <v>4636380</v>
      </c>
      <c r="Z90" s="2">
        <v>114</v>
      </c>
      <c r="AA90" s="2">
        <f>9.5*1.4</f>
        <v>13.299999999999999</v>
      </c>
      <c r="AB90" s="2">
        <f>Z90/E90</f>
        <v>0.31666666666666665</v>
      </c>
      <c r="AC90" s="2">
        <v>6.8</v>
      </c>
      <c r="AD90" s="2">
        <v>90</v>
      </c>
      <c r="AE90" s="2">
        <v>164.2</v>
      </c>
    </row>
    <row r="91" spans="1:31" x14ac:dyDescent="0.3">
      <c r="A91" s="2" t="s">
        <v>310</v>
      </c>
      <c r="B91" s="2" t="s">
        <v>95</v>
      </c>
      <c r="C91" s="2" t="s">
        <v>216</v>
      </c>
      <c r="D91" s="2">
        <v>18.600000000000001</v>
      </c>
      <c r="E91" s="2">
        <v>360</v>
      </c>
      <c r="F91" s="2">
        <v>400</v>
      </c>
      <c r="G91" s="2">
        <v>100</v>
      </c>
      <c r="H91" s="2">
        <v>180</v>
      </c>
      <c r="I91" s="2">
        <v>450</v>
      </c>
      <c r="J91" s="2">
        <v>2.5</v>
      </c>
      <c r="K91" s="2">
        <v>539</v>
      </c>
      <c r="L91" s="2">
        <f t="shared" si="39"/>
        <v>56.548667764616276</v>
      </c>
      <c r="M91" s="2">
        <v>0.105</v>
      </c>
      <c r="N91" s="2">
        <f>L91*K91</f>
        <v>30479.731925128173</v>
      </c>
      <c r="O91" s="2">
        <v>300</v>
      </c>
      <c r="P91" s="2">
        <f>IF(O91="-","-",IF(N91=0,"-",O91/E91))</f>
        <v>0.83333333333333337</v>
      </c>
      <c r="Q91" s="2">
        <f>IF(O91="-",0,O91/E91)</f>
        <v>0.83333333333333337</v>
      </c>
      <c r="R91" s="2">
        <v>1810</v>
      </c>
      <c r="S91" s="2">
        <v>2.8</v>
      </c>
      <c r="T91" s="2">
        <v>734</v>
      </c>
      <c r="U91" s="2">
        <v>2848</v>
      </c>
      <c r="V91" s="2">
        <v>174.3</v>
      </c>
      <c r="W91" s="2">
        <f>AA91*2</f>
        <v>26.599999999999998</v>
      </c>
      <c r="X91" s="2">
        <f>W91/Z91/H91*100/SIN(AD91*PI()/180)</f>
        <v>7.5996122745705705E-2</v>
      </c>
      <c r="Y91" s="2">
        <f>W91*V91*1000</f>
        <v>4636380</v>
      </c>
      <c r="Z91" s="2">
        <v>275</v>
      </c>
      <c r="AA91" s="2">
        <f>9.5*1.4</f>
        <v>13.299999999999999</v>
      </c>
      <c r="AB91" s="2">
        <f>Z91/E91</f>
        <v>0.76388888888888884</v>
      </c>
      <c r="AC91" s="2">
        <v>6.8</v>
      </c>
      <c r="AD91" s="2">
        <v>45</v>
      </c>
      <c r="AE91" s="2">
        <v>169.8</v>
      </c>
    </row>
    <row r="92" spans="1:31" x14ac:dyDescent="0.3">
      <c r="A92" s="2" t="s">
        <v>310</v>
      </c>
      <c r="B92" s="2" t="s">
        <v>95</v>
      </c>
      <c r="C92" s="2" t="s">
        <v>217</v>
      </c>
      <c r="D92" s="2">
        <v>18.600000000000001</v>
      </c>
      <c r="E92" s="2">
        <v>360</v>
      </c>
      <c r="F92" s="2">
        <v>400</v>
      </c>
      <c r="G92" s="2">
        <v>100</v>
      </c>
      <c r="H92" s="2">
        <v>180</v>
      </c>
      <c r="I92" s="2">
        <v>450</v>
      </c>
      <c r="J92" s="2">
        <v>2.5</v>
      </c>
      <c r="K92" s="2">
        <v>539</v>
      </c>
      <c r="L92" s="2">
        <f t="shared" si="39"/>
        <v>56.548667764616276</v>
      </c>
      <c r="M92" s="2">
        <v>0.105</v>
      </c>
      <c r="N92" s="2">
        <f>L92*K92</f>
        <v>30479.731925128173</v>
      </c>
      <c r="O92" s="2">
        <v>300</v>
      </c>
      <c r="P92" s="2">
        <f>IF(O92="-","-",IF(N92=0,"-",O92/E92))</f>
        <v>0.83333333333333337</v>
      </c>
      <c r="Q92" s="2">
        <f>IF(O92="-",0,O92/E92)</f>
        <v>0.83333333333333337</v>
      </c>
      <c r="R92" s="2">
        <v>1810</v>
      </c>
      <c r="S92" s="2">
        <v>2.8</v>
      </c>
      <c r="T92" s="2">
        <v>734</v>
      </c>
      <c r="U92" s="2">
        <v>2848</v>
      </c>
      <c r="V92" s="2">
        <v>174.3</v>
      </c>
      <c r="W92" s="2">
        <f>AA92*2</f>
        <v>26.599999999999998</v>
      </c>
      <c r="X92" s="2">
        <f>W92/Z92/H92*100/SIN(AD92*PI()/180)</f>
        <v>0.13311422773929346</v>
      </c>
      <c r="Y92" s="2">
        <f>W92*V92*1000</f>
        <v>4636380</v>
      </c>
      <c r="Z92" s="2">
        <v>157</v>
      </c>
      <c r="AA92" s="2">
        <f>9.5*1.4</f>
        <v>13.299999999999999</v>
      </c>
      <c r="AB92" s="2">
        <f>Z92/E92</f>
        <v>0.43611111111111112</v>
      </c>
      <c r="AC92" s="2">
        <v>6.8</v>
      </c>
      <c r="AD92" s="2">
        <v>45</v>
      </c>
      <c r="AE92" s="2">
        <v>183.9</v>
      </c>
    </row>
    <row r="93" spans="1:31" x14ac:dyDescent="0.3">
      <c r="A93" s="2" t="s">
        <v>310</v>
      </c>
      <c r="B93" s="2" t="s">
        <v>95</v>
      </c>
      <c r="C93" s="2" t="s">
        <v>219</v>
      </c>
      <c r="D93" s="2">
        <v>18.600000000000001</v>
      </c>
      <c r="E93" s="2">
        <v>360</v>
      </c>
      <c r="F93" s="2">
        <v>400</v>
      </c>
      <c r="G93" s="2">
        <v>100</v>
      </c>
      <c r="H93" s="2">
        <v>180</v>
      </c>
      <c r="I93" s="2">
        <v>450</v>
      </c>
      <c r="J93" s="2">
        <v>2.5</v>
      </c>
      <c r="K93" s="2">
        <v>539</v>
      </c>
      <c r="L93" s="2">
        <f t="shared" si="39"/>
        <v>56.548667764616276</v>
      </c>
      <c r="M93" s="2">
        <v>0.105</v>
      </c>
      <c r="N93" s="2">
        <f>L93*K93</f>
        <v>30479.731925128173</v>
      </c>
      <c r="O93" s="2">
        <v>300</v>
      </c>
      <c r="P93" s="2">
        <f>IF(O93="-","-",IF(N93=0,"-",O93/E93))</f>
        <v>0.83333333333333337</v>
      </c>
      <c r="Q93" s="2">
        <f>IF(O93="-",0,O93/E93)</f>
        <v>0.83333333333333337</v>
      </c>
      <c r="R93" s="2">
        <v>1810</v>
      </c>
      <c r="S93" s="2">
        <v>2.8</v>
      </c>
      <c r="T93" s="2">
        <v>734</v>
      </c>
      <c r="U93" s="2">
        <v>2848</v>
      </c>
      <c r="V93" s="2">
        <v>174.3</v>
      </c>
      <c r="W93" s="2">
        <f>AA93*2</f>
        <v>26.599999999999998</v>
      </c>
      <c r="X93" s="2">
        <f>W93/Z93/H93*100/SIN(AD93*PI()/180)</f>
        <v>7.0221843440530604E-2</v>
      </c>
      <c r="Y93" s="2">
        <f>W93*V93*1000</f>
        <v>4636380</v>
      </c>
      <c r="Z93" s="2">
        <v>243</v>
      </c>
      <c r="AA93" s="2">
        <f>9.5*1.4</f>
        <v>13.299999999999999</v>
      </c>
      <c r="AB93" s="2">
        <f>Z93/E93</f>
        <v>0.67500000000000004</v>
      </c>
      <c r="AC93" s="2">
        <v>6.8</v>
      </c>
      <c r="AD93" s="2">
        <v>60</v>
      </c>
      <c r="AE93" s="2">
        <v>169</v>
      </c>
    </row>
    <row r="94" spans="1:31" x14ac:dyDescent="0.3">
      <c r="A94" s="2" t="s">
        <v>310</v>
      </c>
      <c r="B94" s="2" t="s">
        <v>95</v>
      </c>
      <c r="C94" s="2" t="s">
        <v>220</v>
      </c>
      <c r="D94" s="2">
        <v>18.600000000000001</v>
      </c>
      <c r="E94" s="2">
        <v>360</v>
      </c>
      <c r="F94" s="2">
        <v>400</v>
      </c>
      <c r="G94" s="2">
        <v>100</v>
      </c>
      <c r="H94" s="2">
        <v>180</v>
      </c>
      <c r="I94" s="2">
        <v>450</v>
      </c>
      <c r="J94" s="2">
        <v>2.5</v>
      </c>
      <c r="K94" s="2">
        <v>539</v>
      </c>
      <c r="L94" s="2">
        <f t="shared" si="39"/>
        <v>56.548667764616276</v>
      </c>
      <c r="M94" s="2">
        <v>0.105</v>
      </c>
      <c r="N94" s="2">
        <f>L94*K94</f>
        <v>30479.731925128173</v>
      </c>
      <c r="O94" s="2">
        <v>300</v>
      </c>
      <c r="P94" s="2">
        <f>IF(O94="-","-",IF(N94=0,"-",O94/E94))</f>
        <v>0.83333333333333337</v>
      </c>
      <c r="Q94" s="2">
        <f>IF(O94="-",0,O94/E94)</f>
        <v>0.83333333333333337</v>
      </c>
      <c r="R94" s="2">
        <v>1810</v>
      </c>
      <c r="S94" s="2">
        <v>2.8</v>
      </c>
      <c r="T94" s="2">
        <v>734</v>
      </c>
      <c r="U94" s="2">
        <v>2848</v>
      </c>
      <c r="V94" s="2">
        <v>174.3</v>
      </c>
      <c r="W94" s="2">
        <f>AA94*2</f>
        <v>26.599999999999998</v>
      </c>
      <c r="X94" s="2">
        <f>W94/Z94/H94*100/SIN(AD94*PI()/180)</f>
        <v>0.10533276516079593</v>
      </c>
      <c r="Y94" s="2">
        <f>W94*V94*1000</f>
        <v>4636380</v>
      </c>
      <c r="Z94" s="2">
        <v>162</v>
      </c>
      <c r="AA94" s="2">
        <f>9.5*1.4</f>
        <v>13.299999999999999</v>
      </c>
      <c r="AB94" s="2">
        <f>Z94/E94</f>
        <v>0.45</v>
      </c>
      <c r="AC94" s="2">
        <v>6.8</v>
      </c>
      <c r="AD94" s="2">
        <v>60</v>
      </c>
      <c r="AE94" s="2">
        <v>178.6</v>
      </c>
    </row>
    <row r="95" spans="1:31" x14ac:dyDescent="0.3">
      <c r="A95" s="2" t="s">
        <v>310</v>
      </c>
      <c r="B95" s="2" t="s">
        <v>95</v>
      </c>
      <c r="C95" s="2" t="s">
        <v>283</v>
      </c>
      <c r="D95" s="2">
        <v>18.600000000000001</v>
      </c>
      <c r="E95" s="2">
        <v>360</v>
      </c>
      <c r="F95" s="2">
        <v>400</v>
      </c>
      <c r="G95" s="2">
        <v>100</v>
      </c>
      <c r="H95" s="2">
        <v>180</v>
      </c>
      <c r="I95" s="2">
        <v>450</v>
      </c>
      <c r="J95" s="2">
        <v>2.5</v>
      </c>
      <c r="K95" s="2">
        <v>539</v>
      </c>
      <c r="L95" s="2">
        <f t="shared" si="39"/>
        <v>56.548667764616276</v>
      </c>
      <c r="M95" s="2">
        <v>0.17399999999999999</v>
      </c>
      <c r="N95" s="2">
        <f>L95*K95</f>
        <v>30479.731925128173</v>
      </c>
      <c r="O95" s="2">
        <v>180</v>
      </c>
      <c r="P95" s="2">
        <f>IF(O95="-","-",IF(N95=0,"-",O95/E95))</f>
        <v>0.5</v>
      </c>
      <c r="Q95" s="2">
        <v>0.5</v>
      </c>
      <c r="R95" s="2">
        <v>1810</v>
      </c>
      <c r="S95" s="2">
        <v>2.8</v>
      </c>
      <c r="T95" s="2">
        <v>734</v>
      </c>
      <c r="U95" s="2" t="s">
        <v>210</v>
      </c>
      <c r="V95" s="2" t="s">
        <v>210</v>
      </c>
      <c r="W95" s="2">
        <v>0</v>
      </c>
      <c r="X95" s="2">
        <v>0</v>
      </c>
      <c r="Y95" s="2">
        <v>0</v>
      </c>
      <c r="Z95" s="2" t="s">
        <v>210</v>
      </c>
      <c r="AA95" s="2" t="s">
        <v>210</v>
      </c>
      <c r="AB95" s="2">
        <v>5</v>
      </c>
      <c r="AC95" s="2">
        <v>1</v>
      </c>
      <c r="AD95" s="2">
        <v>90</v>
      </c>
      <c r="AE95" s="2">
        <v>182.3</v>
      </c>
    </row>
    <row r="96" spans="1:31" x14ac:dyDescent="0.3">
      <c r="A96" s="2" t="s">
        <v>310</v>
      </c>
      <c r="B96" s="2" t="s">
        <v>95</v>
      </c>
      <c r="C96" s="2" t="s">
        <v>282</v>
      </c>
      <c r="D96" s="2">
        <v>18.600000000000001</v>
      </c>
      <c r="E96" s="2">
        <v>360</v>
      </c>
      <c r="F96" s="2">
        <v>400</v>
      </c>
      <c r="G96" s="2">
        <v>100</v>
      </c>
      <c r="H96" s="2">
        <v>180</v>
      </c>
      <c r="I96" s="2">
        <v>450</v>
      </c>
      <c r="J96" s="2">
        <v>2.5</v>
      </c>
      <c r="K96" s="2">
        <v>539</v>
      </c>
      <c r="L96" s="2">
        <f t="shared" si="39"/>
        <v>56.548667764616276</v>
      </c>
      <c r="M96" s="2">
        <v>0.17399999999999999</v>
      </c>
      <c r="N96" s="2">
        <f>L96*K96</f>
        <v>30479.731925128173</v>
      </c>
      <c r="O96" s="2">
        <v>180</v>
      </c>
      <c r="P96" s="2">
        <f>IF(O96="-","-",IF(N96=0,"-",O96/E96))</f>
        <v>0.5</v>
      </c>
      <c r="Q96" s="2">
        <f>IF(O96="-",0,O96/E96)</f>
        <v>0.5</v>
      </c>
      <c r="R96" s="2">
        <v>1810</v>
      </c>
      <c r="S96" s="2">
        <v>2.8</v>
      </c>
      <c r="T96" s="2">
        <v>734</v>
      </c>
      <c r="U96" s="2">
        <v>2848</v>
      </c>
      <c r="V96" s="2">
        <v>174.3</v>
      </c>
      <c r="W96" s="2">
        <f>AA96*2</f>
        <v>26.599999999999998</v>
      </c>
      <c r="X96" s="2">
        <f>W96/Z96/H96*100/SIN(AD96*PI()/180)</f>
        <v>0.12962962962962962</v>
      </c>
      <c r="Y96" s="2">
        <f>W96*V96*1000</f>
        <v>4636380</v>
      </c>
      <c r="Z96" s="2">
        <v>114</v>
      </c>
      <c r="AA96" s="2">
        <f>9.5*1.4</f>
        <v>13.299999999999999</v>
      </c>
      <c r="AB96" s="2">
        <f>Z96/E96</f>
        <v>0.31666666666666665</v>
      </c>
      <c r="AC96" s="2">
        <v>6.8</v>
      </c>
      <c r="AD96" s="2">
        <v>90</v>
      </c>
      <c r="AE96" s="2">
        <v>189.1</v>
      </c>
    </row>
    <row r="97" spans="1:31" x14ac:dyDescent="0.3">
      <c r="A97" s="2" t="s">
        <v>310</v>
      </c>
      <c r="B97" s="2" t="s">
        <v>95</v>
      </c>
      <c r="C97" s="2" t="s">
        <v>276</v>
      </c>
      <c r="D97" s="2">
        <v>18.600000000000001</v>
      </c>
      <c r="E97" s="2">
        <v>360</v>
      </c>
      <c r="F97" s="2">
        <v>400</v>
      </c>
      <c r="G97" s="2">
        <v>100</v>
      </c>
      <c r="H97" s="2">
        <v>180</v>
      </c>
      <c r="I97" s="2">
        <v>450</v>
      </c>
      <c r="J97" s="2">
        <v>2.5</v>
      </c>
      <c r="K97" s="2">
        <v>539</v>
      </c>
      <c r="L97" s="2">
        <f t="shared" si="39"/>
        <v>56.548667764616276</v>
      </c>
      <c r="M97" s="2">
        <v>0.17399999999999999</v>
      </c>
      <c r="N97" s="2">
        <f>L97*K97</f>
        <v>30479.731925128173</v>
      </c>
      <c r="O97" s="2">
        <v>180</v>
      </c>
      <c r="P97" s="2">
        <f>IF(O97="-","-",IF(N97=0,"-",O97/E97))</f>
        <v>0.5</v>
      </c>
      <c r="Q97" s="2">
        <v>0.5</v>
      </c>
      <c r="R97" s="2">
        <v>1810</v>
      </c>
      <c r="S97" s="2">
        <v>2.8</v>
      </c>
      <c r="T97" s="2">
        <v>734</v>
      </c>
      <c r="U97" s="2">
        <v>2848</v>
      </c>
      <c r="V97" s="2">
        <v>174.3</v>
      </c>
      <c r="W97" s="2">
        <f>AA97*2</f>
        <v>26.599999999999998</v>
      </c>
      <c r="X97" s="2">
        <f>W97/Z97/H97*100/SIN(AD97*PI()/180)</f>
        <v>7.5996122745705705E-2</v>
      </c>
      <c r="Y97" s="2">
        <f>W97*V97*1000</f>
        <v>4636380</v>
      </c>
      <c r="Z97" s="2">
        <v>275</v>
      </c>
      <c r="AA97" s="2">
        <f>9.5*1.4</f>
        <v>13.299999999999999</v>
      </c>
      <c r="AB97" s="2">
        <f>Z97/E97</f>
        <v>0.76388888888888884</v>
      </c>
      <c r="AC97" s="2">
        <v>6.8</v>
      </c>
      <c r="AD97" s="2">
        <v>45</v>
      </c>
      <c r="AE97" s="2">
        <v>208.3</v>
      </c>
    </row>
    <row r="98" spans="1:31" x14ac:dyDescent="0.3">
      <c r="A98" s="2" t="s">
        <v>310</v>
      </c>
      <c r="B98" s="2" t="s">
        <v>95</v>
      </c>
      <c r="C98" s="2" t="s">
        <v>281</v>
      </c>
      <c r="D98" s="2">
        <v>18.600000000000001</v>
      </c>
      <c r="E98" s="2">
        <v>360</v>
      </c>
      <c r="F98" s="2">
        <v>400</v>
      </c>
      <c r="G98" s="2">
        <v>100</v>
      </c>
      <c r="H98" s="2">
        <v>180</v>
      </c>
      <c r="I98" s="2">
        <v>450</v>
      </c>
      <c r="J98" s="2">
        <v>2.5</v>
      </c>
      <c r="K98" s="2">
        <v>539</v>
      </c>
      <c r="L98" s="2">
        <f t="shared" si="39"/>
        <v>56.548667764616276</v>
      </c>
      <c r="M98" s="2">
        <v>0.17399999999999999</v>
      </c>
      <c r="N98" s="2">
        <f>L98*K98</f>
        <v>30479.731925128173</v>
      </c>
      <c r="O98" s="2">
        <v>180</v>
      </c>
      <c r="P98" s="2">
        <f>IF(O98="-","-",IF(N98=0,"-",O98/E98))</f>
        <v>0.5</v>
      </c>
      <c r="Q98" s="2">
        <f>IF(O98="-",0,O98/E98)</f>
        <v>0.5</v>
      </c>
      <c r="R98" s="2">
        <v>1810</v>
      </c>
      <c r="S98" s="2">
        <v>2.8</v>
      </c>
      <c r="T98" s="2">
        <v>734</v>
      </c>
      <c r="U98" s="2">
        <v>2848</v>
      </c>
      <c r="V98" s="2">
        <v>174.3</v>
      </c>
      <c r="W98" s="2">
        <f>AA98*2</f>
        <v>26.599999999999998</v>
      </c>
      <c r="X98" s="2">
        <f>W98/Z98/H98*100/SIN(AD98*PI()/180)</f>
        <v>0.13311422773929346</v>
      </c>
      <c r="Y98" s="2">
        <f>W98*V98*1000</f>
        <v>4636380</v>
      </c>
      <c r="Z98" s="2">
        <v>157</v>
      </c>
      <c r="AA98" s="2">
        <f>9.5*1.4</f>
        <v>13.299999999999999</v>
      </c>
      <c r="AB98" s="2">
        <f>Z98/E98</f>
        <v>0.43611111111111112</v>
      </c>
      <c r="AC98" s="2">
        <v>6.8</v>
      </c>
      <c r="AD98" s="2">
        <v>45</v>
      </c>
      <c r="AE98" s="2">
        <v>213.8</v>
      </c>
    </row>
    <row r="99" spans="1:31" x14ac:dyDescent="0.3">
      <c r="A99" s="2" t="s">
        <v>310</v>
      </c>
      <c r="B99" s="2" t="s">
        <v>95</v>
      </c>
      <c r="C99" s="2" t="s">
        <v>277</v>
      </c>
      <c r="D99" s="2">
        <v>18.600000000000001</v>
      </c>
      <c r="E99" s="2">
        <v>360</v>
      </c>
      <c r="F99" s="2">
        <v>400</v>
      </c>
      <c r="G99" s="2">
        <v>100</v>
      </c>
      <c r="H99" s="2">
        <v>180</v>
      </c>
      <c r="I99" s="2">
        <v>450</v>
      </c>
      <c r="J99" s="2">
        <v>2.5</v>
      </c>
      <c r="K99" s="2">
        <v>539</v>
      </c>
      <c r="L99" s="2">
        <f t="shared" si="39"/>
        <v>56.548667764616276</v>
      </c>
      <c r="M99" s="2">
        <v>0.17399999999999999</v>
      </c>
      <c r="N99" s="2">
        <f>L99*K99</f>
        <v>30479.731925128173</v>
      </c>
      <c r="O99" s="2">
        <v>180</v>
      </c>
      <c r="P99" s="2">
        <f>IF(O99="-","-",IF(N99=0,"-",O99/E99))</f>
        <v>0.5</v>
      </c>
      <c r="Q99" s="2">
        <v>0.5</v>
      </c>
      <c r="R99" s="2">
        <v>1810</v>
      </c>
      <c r="S99" s="2">
        <v>2.8</v>
      </c>
      <c r="T99" s="2">
        <v>734</v>
      </c>
      <c r="U99" s="2">
        <v>2848</v>
      </c>
      <c r="V99" s="2">
        <v>174.3</v>
      </c>
      <c r="W99" s="2">
        <f>AA99*2</f>
        <v>26.599999999999998</v>
      </c>
      <c r="X99" s="2">
        <f>W99/Z99/H99*100/SIN(AD99*PI()/180)</f>
        <v>7.0221843440530604E-2</v>
      </c>
      <c r="Y99" s="2">
        <f>W99*V99*1000</f>
        <v>4636380</v>
      </c>
      <c r="Z99" s="2">
        <v>243</v>
      </c>
      <c r="AA99" s="2">
        <f>9.5*1.4</f>
        <v>13.299999999999999</v>
      </c>
      <c r="AB99" s="2">
        <f>Z99/E99</f>
        <v>0.67500000000000004</v>
      </c>
      <c r="AC99" s="2">
        <v>6.8</v>
      </c>
      <c r="AD99" s="2">
        <v>60</v>
      </c>
      <c r="AE99" s="2">
        <v>207.4</v>
      </c>
    </row>
    <row r="100" spans="1:31" x14ac:dyDescent="0.3">
      <c r="A100" s="2" t="s">
        <v>310</v>
      </c>
      <c r="B100" s="2" t="s">
        <v>95</v>
      </c>
      <c r="C100" s="2" t="s">
        <v>280</v>
      </c>
      <c r="D100" s="2">
        <v>18.600000000000001</v>
      </c>
      <c r="E100" s="2">
        <v>360</v>
      </c>
      <c r="F100" s="2">
        <v>400</v>
      </c>
      <c r="G100" s="2">
        <v>100</v>
      </c>
      <c r="H100" s="2">
        <v>180</v>
      </c>
      <c r="I100" s="2">
        <v>450</v>
      </c>
      <c r="J100" s="2">
        <v>2.5</v>
      </c>
      <c r="K100" s="2">
        <v>539</v>
      </c>
      <c r="L100" s="2">
        <f t="shared" si="39"/>
        <v>56.548667764616276</v>
      </c>
      <c r="M100" s="2">
        <v>0.17</v>
      </c>
      <c r="N100" s="2">
        <f>L100*K100</f>
        <v>30479.731925128173</v>
      </c>
      <c r="O100" s="2">
        <v>180</v>
      </c>
      <c r="P100" s="2">
        <f>IF(O100="-","-",IF(N100=0,"-",O100/E100))</f>
        <v>0.5</v>
      </c>
      <c r="Q100" s="2">
        <v>0.5</v>
      </c>
      <c r="R100" s="2">
        <v>1810</v>
      </c>
      <c r="S100" s="2">
        <v>2.8</v>
      </c>
      <c r="T100" s="2">
        <v>734</v>
      </c>
      <c r="U100" s="2">
        <v>2848</v>
      </c>
      <c r="V100" s="2">
        <v>174.3</v>
      </c>
      <c r="W100" s="2">
        <f>AA100*2</f>
        <v>26.599999999999998</v>
      </c>
      <c r="X100" s="2">
        <f>W100/Z100/H100*100/SIN(AD100*PI()/180)</f>
        <v>0.10533276516079593</v>
      </c>
      <c r="Y100" s="2">
        <f>W100*V100*1000</f>
        <v>4636380</v>
      </c>
      <c r="Z100" s="2">
        <v>162</v>
      </c>
      <c r="AA100" s="2">
        <f>9.5*1.4</f>
        <v>13.299999999999999</v>
      </c>
      <c r="AB100" s="2">
        <f>Z100/E100</f>
        <v>0.45</v>
      </c>
      <c r="AC100" s="2">
        <v>6.8</v>
      </c>
      <c r="AD100" s="2">
        <v>60</v>
      </c>
      <c r="AE100" s="2">
        <v>217.4</v>
      </c>
    </row>
    <row r="101" spans="1:31" x14ac:dyDescent="0.3">
      <c r="A101" s="2" t="s">
        <v>184</v>
      </c>
      <c r="B101" s="2" t="s">
        <v>95</v>
      </c>
      <c r="C101" s="2" t="s">
        <v>97</v>
      </c>
      <c r="D101" s="2">
        <v>31.1</v>
      </c>
      <c r="E101" s="2">
        <v>356</v>
      </c>
      <c r="F101" s="2">
        <v>400</v>
      </c>
      <c r="G101" s="2">
        <v>100</v>
      </c>
      <c r="H101" s="2">
        <v>180</v>
      </c>
      <c r="I101" s="2">
        <v>450</v>
      </c>
      <c r="J101" s="2">
        <v>2.5</v>
      </c>
      <c r="K101" s="2" t="s">
        <v>210</v>
      </c>
      <c r="L101" s="2" t="s">
        <v>210</v>
      </c>
      <c r="M101" s="2" t="s">
        <v>210</v>
      </c>
      <c r="N101" s="2">
        <v>0</v>
      </c>
      <c r="O101" s="2" t="s">
        <v>210</v>
      </c>
      <c r="P101" s="2" t="s">
        <v>210</v>
      </c>
      <c r="Q101" s="2">
        <v>5</v>
      </c>
      <c r="R101" s="2">
        <f t="shared" ref="R101:R112" si="40">3*PI()*25^2/4+2*PI()*16^2/4</f>
        <v>1874.7454160297091</v>
      </c>
      <c r="S101" s="2">
        <f>R101/E101/H101*100</f>
        <v>2.9256326717067864</v>
      </c>
      <c r="T101" s="2">
        <v>444</v>
      </c>
      <c r="U101" s="2" t="s">
        <v>210</v>
      </c>
      <c r="V101" s="2" t="s">
        <v>210</v>
      </c>
      <c r="W101" s="2">
        <v>0</v>
      </c>
      <c r="X101" s="2">
        <v>0</v>
      </c>
      <c r="Y101" s="2">
        <v>0</v>
      </c>
      <c r="Z101" s="2" t="s">
        <v>210</v>
      </c>
      <c r="AA101" s="2" t="s">
        <v>210</v>
      </c>
      <c r="AB101" s="2">
        <v>5</v>
      </c>
      <c r="AC101" s="2">
        <v>1</v>
      </c>
      <c r="AD101" s="2">
        <v>90</v>
      </c>
      <c r="AE101" s="2">
        <v>145.80000000000001</v>
      </c>
    </row>
    <row r="102" spans="1:31" x14ac:dyDescent="0.3">
      <c r="A102" s="2" t="s">
        <v>311</v>
      </c>
      <c r="B102" s="2" t="s">
        <v>95</v>
      </c>
      <c r="C102" s="2" t="s">
        <v>266</v>
      </c>
      <c r="D102" s="2">
        <v>31.1</v>
      </c>
      <c r="E102" s="2">
        <v>360</v>
      </c>
      <c r="F102" s="2">
        <v>400</v>
      </c>
      <c r="G102" s="2">
        <v>100</v>
      </c>
      <c r="H102" s="2">
        <v>180</v>
      </c>
      <c r="I102" s="2">
        <v>450</v>
      </c>
      <c r="J102" s="2">
        <v>2.5</v>
      </c>
      <c r="K102" s="2">
        <v>533</v>
      </c>
      <c r="L102" s="2">
        <f t="shared" ref="L102:L112" si="41">PI()*6^2/2</f>
        <v>56.548667764616276</v>
      </c>
      <c r="M102" s="2">
        <f>L102/O102/H102*100</f>
        <v>0.10471975511965977</v>
      </c>
      <c r="N102" s="2">
        <f>L102*K102</f>
        <v>30140.439918540476</v>
      </c>
      <c r="O102" s="2">
        <v>300</v>
      </c>
      <c r="P102" s="2">
        <f>IF(O102="-","-",O102/E102)</f>
        <v>0.83333333333333337</v>
      </c>
      <c r="Q102" s="2">
        <f>IF(O102="-",0,O102/E102)</f>
        <v>0.83333333333333337</v>
      </c>
      <c r="R102" s="2">
        <f t="shared" si="40"/>
        <v>1874.7454160297091</v>
      </c>
      <c r="S102" s="2">
        <f>R102/E102/H102*100</f>
        <v>2.8931256420211557</v>
      </c>
      <c r="T102" s="2">
        <v>444</v>
      </c>
      <c r="U102" s="2" t="s">
        <v>210</v>
      </c>
      <c r="V102" s="2" t="s">
        <v>210</v>
      </c>
      <c r="W102" s="2">
        <v>0</v>
      </c>
      <c r="X102" s="2">
        <v>0</v>
      </c>
      <c r="Y102" s="2">
        <v>0</v>
      </c>
      <c r="Z102" s="2" t="s">
        <v>210</v>
      </c>
      <c r="AA102" s="2" t="s">
        <v>210</v>
      </c>
      <c r="AB102" s="2">
        <v>5</v>
      </c>
      <c r="AC102" s="2">
        <v>1</v>
      </c>
      <c r="AD102" s="2">
        <v>90</v>
      </c>
      <c r="AE102" s="2">
        <v>189</v>
      </c>
    </row>
    <row r="103" spans="1:31" x14ac:dyDescent="0.3">
      <c r="A103" s="2" t="s">
        <v>184</v>
      </c>
      <c r="B103" s="2" t="s">
        <v>95</v>
      </c>
      <c r="C103" s="2" t="s">
        <v>265</v>
      </c>
      <c r="D103" s="2">
        <v>31.1</v>
      </c>
      <c r="E103" s="2">
        <v>356</v>
      </c>
      <c r="F103" s="2">
        <v>400</v>
      </c>
      <c r="G103" s="2">
        <v>100</v>
      </c>
      <c r="H103" s="2">
        <v>180</v>
      </c>
      <c r="I103" s="2">
        <v>450</v>
      </c>
      <c r="J103" s="2">
        <v>2.5</v>
      </c>
      <c r="K103" s="2">
        <v>533</v>
      </c>
      <c r="L103" s="2">
        <f t="shared" si="41"/>
        <v>56.548667764616276</v>
      </c>
      <c r="M103" s="2">
        <v>0.24099999999999999</v>
      </c>
      <c r="N103" s="2">
        <f>L103*K103</f>
        <v>30140.439918540476</v>
      </c>
      <c r="O103" s="2">
        <v>130</v>
      </c>
      <c r="P103" s="2">
        <f>IF(O103="-","-",O103/E103)</f>
        <v>0.3651685393258427</v>
      </c>
      <c r="Q103" s="2">
        <f>IF(O103="-",0,O103/E103)</f>
        <v>0.3651685393258427</v>
      </c>
      <c r="R103" s="2">
        <f t="shared" si="40"/>
        <v>1874.7454160297091</v>
      </c>
      <c r="S103" s="2">
        <f>R103/E103/H103*100</f>
        <v>2.9256326717067864</v>
      </c>
      <c r="T103" s="2">
        <v>444</v>
      </c>
      <c r="U103" s="2" t="s">
        <v>210</v>
      </c>
      <c r="V103" s="2" t="s">
        <v>210</v>
      </c>
      <c r="W103" s="2">
        <v>0</v>
      </c>
      <c r="X103" s="2">
        <v>0</v>
      </c>
      <c r="Y103" s="2">
        <v>0</v>
      </c>
      <c r="Z103" s="2" t="s">
        <v>210</v>
      </c>
      <c r="AA103" s="2" t="s">
        <v>210</v>
      </c>
      <c r="AB103" s="2">
        <v>5</v>
      </c>
      <c r="AC103" s="2">
        <v>1</v>
      </c>
      <c r="AD103" s="2">
        <v>90</v>
      </c>
      <c r="AE103" s="2">
        <v>246</v>
      </c>
    </row>
    <row r="104" spans="1:31" x14ac:dyDescent="0.3">
      <c r="A104" s="2" t="s">
        <v>311</v>
      </c>
      <c r="B104" s="2" t="s">
        <v>95</v>
      </c>
      <c r="C104" s="2" t="s">
        <v>267</v>
      </c>
      <c r="D104" s="2">
        <v>31.1</v>
      </c>
      <c r="E104" s="2">
        <v>360</v>
      </c>
      <c r="F104" s="2">
        <v>400</v>
      </c>
      <c r="G104" s="2">
        <v>100</v>
      </c>
      <c r="H104" s="2">
        <v>180</v>
      </c>
      <c r="I104" s="2">
        <v>450</v>
      </c>
      <c r="J104" s="2">
        <v>2.5</v>
      </c>
      <c r="K104" s="2">
        <v>533</v>
      </c>
      <c r="L104" s="2">
        <f t="shared" si="41"/>
        <v>56.548667764616276</v>
      </c>
      <c r="M104" s="2">
        <v>0.24099999999999999</v>
      </c>
      <c r="N104" s="2">
        <f>L104*K104</f>
        <v>30140.439918540476</v>
      </c>
      <c r="O104" s="2">
        <v>300</v>
      </c>
      <c r="P104" s="2">
        <f>IF(O104="-","-",O104/E104)</f>
        <v>0.83333333333333337</v>
      </c>
      <c r="Q104" s="2">
        <f>IF(O104="-",0,O104/E104)</f>
        <v>0.83333333333333337</v>
      </c>
      <c r="R104" s="2">
        <f t="shared" si="40"/>
        <v>1874.7454160297091</v>
      </c>
      <c r="S104" s="2">
        <f>R104/E104/H104*100</f>
        <v>2.8931256420211557</v>
      </c>
      <c r="T104" s="2">
        <v>444</v>
      </c>
      <c r="U104" s="2">
        <v>2952</v>
      </c>
      <c r="V104" s="2">
        <v>166.6</v>
      </c>
      <c r="W104" s="2">
        <f t="shared" ref="W104:W112" si="42">AA104*2</f>
        <v>28</v>
      </c>
      <c r="X104" s="2">
        <f>W104/Z104/H104*100/SIN(AD104*PI()/180)</f>
        <v>5.8260507698709947E-2</v>
      </c>
      <c r="Y104" s="2">
        <f t="shared" ref="Y104:Y112" si="43">W104*V104*1000</f>
        <v>4664800</v>
      </c>
      <c r="Z104" s="2">
        <v>267</v>
      </c>
      <c r="AA104" s="2">
        <v>14</v>
      </c>
      <c r="AB104" s="2">
        <f>Z104/E104</f>
        <v>0.7416666666666667</v>
      </c>
      <c r="AC104" s="2">
        <v>7.1</v>
      </c>
      <c r="AD104" s="2">
        <v>90</v>
      </c>
      <c r="AE104" s="2">
        <v>189.6</v>
      </c>
    </row>
    <row r="105" spans="1:31" x14ac:dyDescent="0.3">
      <c r="A105" s="2" t="s">
        <v>311</v>
      </c>
      <c r="B105" s="2" t="s">
        <v>95</v>
      </c>
      <c r="C105" s="2" t="s">
        <v>268</v>
      </c>
      <c r="D105" s="2">
        <v>31.1</v>
      </c>
      <c r="E105" s="2">
        <v>360</v>
      </c>
      <c r="F105" s="2">
        <v>400</v>
      </c>
      <c r="G105" s="2">
        <v>100</v>
      </c>
      <c r="H105" s="2">
        <v>180</v>
      </c>
      <c r="I105" s="2">
        <v>450</v>
      </c>
      <c r="J105" s="2">
        <v>2.5</v>
      </c>
      <c r="K105" s="2">
        <v>533</v>
      </c>
      <c r="L105" s="2">
        <f t="shared" si="41"/>
        <v>56.548667764616276</v>
      </c>
      <c r="M105" s="2">
        <v>0.24099999999999999</v>
      </c>
      <c r="N105" s="2">
        <f>L105*K105</f>
        <v>30140.439918540476</v>
      </c>
      <c r="O105" s="2">
        <v>300</v>
      </c>
      <c r="P105" s="2">
        <f>IF(O105="-","-",O105/E105)</f>
        <v>0.83333333333333337</v>
      </c>
      <c r="Q105" s="2">
        <f>IF(O105="-",0,O105/E105)</f>
        <v>0.83333333333333337</v>
      </c>
      <c r="R105" s="2">
        <f t="shared" si="40"/>
        <v>1874.7454160297091</v>
      </c>
      <c r="S105" s="2">
        <f>R105/E105/H105*100</f>
        <v>2.8931256420211557</v>
      </c>
      <c r="T105" s="2">
        <v>444</v>
      </c>
      <c r="U105" s="2">
        <v>2952</v>
      </c>
      <c r="V105" s="2">
        <v>166.6</v>
      </c>
      <c r="W105" s="2">
        <f t="shared" si="42"/>
        <v>28</v>
      </c>
      <c r="X105" s="2">
        <f>W105/Z105/H105*100/SIN(AD105*PI()/180)</f>
        <v>9.7222222222222224E-2</v>
      </c>
      <c r="Y105" s="2">
        <f t="shared" si="43"/>
        <v>4664800</v>
      </c>
      <c r="Z105" s="2">
        <v>160</v>
      </c>
      <c r="AA105" s="2">
        <v>14</v>
      </c>
      <c r="AB105" s="2">
        <f>Z105/E105</f>
        <v>0.44444444444444442</v>
      </c>
      <c r="AC105" s="2">
        <v>7.1</v>
      </c>
      <c r="AD105" s="2">
        <v>90</v>
      </c>
      <c r="AE105" s="2">
        <v>214.2</v>
      </c>
    </row>
    <row r="106" spans="1:31" x14ac:dyDescent="0.3">
      <c r="A106" s="2" t="s">
        <v>311</v>
      </c>
      <c r="B106" s="2" t="s">
        <v>95</v>
      </c>
      <c r="C106" s="2" t="s">
        <v>269</v>
      </c>
      <c r="D106" s="2">
        <v>31.1</v>
      </c>
      <c r="E106" s="2">
        <v>360</v>
      </c>
      <c r="F106" s="2">
        <v>400</v>
      </c>
      <c r="G106" s="2">
        <v>100</v>
      </c>
      <c r="H106" s="2">
        <v>180</v>
      </c>
      <c r="I106" s="2">
        <v>450</v>
      </c>
      <c r="J106" s="2">
        <v>2.5</v>
      </c>
      <c r="K106" s="2">
        <v>533</v>
      </c>
      <c r="L106" s="2">
        <f t="shared" si="41"/>
        <v>56.548667764616276</v>
      </c>
      <c r="M106" s="2">
        <v>0.24099999999999999</v>
      </c>
      <c r="N106" s="2">
        <f>L106*K106</f>
        <v>30140.439918540476</v>
      </c>
      <c r="O106" s="2">
        <v>300</v>
      </c>
      <c r="P106" s="2">
        <f>IF(O106="-","-",O106/E106)</f>
        <v>0.83333333333333337</v>
      </c>
      <c r="Q106" s="2">
        <f>IF(O106="-",0,O106/E106)</f>
        <v>0.83333333333333337</v>
      </c>
      <c r="R106" s="2">
        <f t="shared" si="40"/>
        <v>1874.7454160297091</v>
      </c>
      <c r="S106" s="2">
        <f>R106/E106/H106*100</f>
        <v>2.8931256420211557</v>
      </c>
      <c r="T106" s="2">
        <v>444</v>
      </c>
      <c r="U106" s="2">
        <v>2952</v>
      </c>
      <c r="V106" s="2">
        <v>166.6</v>
      </c>
      <c r="W106" s="2">
        <f t="shared" si="42"/>
        <v>28</v>
      </c>
      <c r="X106" s="2">
        <f>W106/Z106/H106*100/SIN(AD106*PI()/180)</f>
        <v>0.15555555555555556</v>
      </c>
      <c r="Y106" s="2">
        <f t="shared" si="43"/>
        <v>4664800</v>
      </c>
      <c r="Z106" s="2">
        <v>100</v>
      </c>
      <c r="AA106" s="2">
        <v>14</v>
      </c>
      <c r="AB106" s="2">
        <f>Z106/E106</f>
        <v>0.27777777777777779</v>
      </c>
      <c r="AC106" s="2">
        <v>7.1</v>
      </c>
      <c r="AD106" s="2">
        <v>90</v>
      </c>
      <c r="AE106" s="2">
        <v>237.6</v>
      </c>
    </row>
    <row r="107" spans="1:31" x14ac:dyDescent="0.3">
      <c r="A107" s="2" t="s">
        <v>311</v>
      </c>
      <c r="B107" s="2" t="s">
        <v>95</v>
      </c>
      <c r="C107" s="2" t="s">
        <v>275</v>
      </c>
      <c r="D107" s="2">
        <v>31.1</v>
      </c>
      <c r="E107" s="2">
        <v>360</v>
      </c>
      <c r="F107" s="2">
        <v>400</v>
      </c>
      <c r="G107" s="2">
        <v>100</v>
      </c>
      <c r="H107" s="2">
        <v>180</v>
      </c>
      <c r="I107" s="2">
        <v>450</v>
      </c>
      <c r="J107" s="2">
        <v>2.5</v>
      </c>
      <c r="K107" s="2">
        <v>533</v>
      </c>
      <c r="L107" s="2">
        <f t="shared" si="41"/>
        <v>56.548667764616276</v>
      </c>
      <c r="M107" s="2">
        <v>0.24099999999999999</v>
      </c>
      <c r="N107" s="2">
        <f>L107*K107</f>
        <v>30140.439918540476</v>
      </c>
      <c r="O107" s="2">
        <v>300</v>
      </c>
      <c r="P107" s="2">
        <f>IF(O107="-","-",O107/E107)</f>
        <v>0.83333333333333337</v>
      </c>
      <c r="Q107" s="2">
        <f>IF(O107="-",0,O107/E107)</f>
        <v>0.83333333333333337</v>
      </c>
      <c r="R107" s="2">
        <f t="shared" si="40"/>
        <v>1874.7454160297091</v>
      </c>
      <c r="S107" s="2">
        <f>R107/E107/H107*100</f>
        <v>2.8931256420211557</v>
      </c>
      <c r="T107" s="2">
        <v>444</v>
      </c>
      <c r="U107" s="2">
        <v>2952</v>
      </c>
      <c r="V107" s="2">
        <v>166.6</v>
      </c>
      <c r="W107" s="2">
        <f t="shared" si="42"/>
        <v>28</v>
      </c>
      <c r="X107" s="2">
        <f>W107/Z107/H107*100/SIN(AD107*PI()/180)</f>
        <v>5.9942445877152084E-2</v>
      </c>
      <c r="Y107" s="2">
        <f t="shared" si="43"/>
        <v>4664800</v>
      </c>
      <c r="Z107" s="2">
        <v>367</v>
      </c>
      <c r="AA107" s="2">
        <v>14</v>
      </c>
      <c r="AB107" s="2">
        <f>Z107/E107</f>
        <v>1.0194444444444444</v>
      </c>
      <c r="AC107" s="2">
        <v>7.1</v>
      </c>
      <c r="AD107" s="2">
        <v>45</v>
      </c>
      <c r="AE107" s="2">
        <v>196.8</v>
      </c>
    </row>
    <row r="108" spans="1:31" x14ac:dyDescent="0.3">
      <c r="A108" s="2" t="s">
        <v>311</v>
      </c>
      <c r="B108" s="2" t="s">
        <v>95</v>
      </c>
      <c r="C108" s="2" t="s">
        <v>273</v>
      </c>
      <c r="D108" s="2">
        <v>31.1</v>
      </c>
      <c r="E108" s="2">
        <v>360</v>
      </c>
      <c r="F108" s="2">
        <v>400</v>
      </c>
      <c r="G108" s="2">
        <v>100</v>
      </c>
      <c r="H108" s="2">
        <v>180</v>
      </c>
      <c r="I108" s="2">
        <v>450</v>
      </c>
      <c r="J108" s="2">
        <v>2.5</v>
      </c>
      <c r="K108" s="2">
        <v>533</v>
      </c>
      <c r="L108" s="2">
        <f t="shared" si="41"/>
        <v>56.548667764616276</v>
      </c>
      <c r="M108" s="2">
        <v>0.24099999999999999</v>
      </c>
      <c r="N108" s="2">
        <f>L108*K108</f>
        <v>30140.439918540476</v>
      </c>
      <c r="O108" s="2">
        <v>300</v>
      </c>
      <c r="P108" s="2">
        <f>IF(O108="-","-",O108/E108)</f>
        <v>0.83333333333333337</v>
      </c>
      <c r="Q108" s="2">
        <f>IF(O108="-",0,O108/E108)</f>
        <v>0.83333333333333337</v>
      </c>
      <c r="R108" s="2">
        <f t="shared" si="40"/>
        <v>1874.7454160297091</v>
      </c>
      <c r="S108" s="2">
        <f>R108/E108/H108*100</f>
        <v>2.8931256420211557</v>
      </c>
      <c r="T108" s="2">
        <v>444</v>
      </c>
      <c r="U108" s="2">
        <v>2952</v>
      </c>
      <c r="V108" s="2">
        <v>166.6</v>
      </c>
      <c r="W108" s="2">
        <f t="shared" si="42"/>
        <v>28</v>
      </c>
      <c r="X108" s="2">
        <f>W108/Z108/H108*100/SIN(AD108*PI()/180)</f>
        <v>9.9994898349612768E-2</v>
      </c>
      <c r="Y108" s="2">
        <f t="shared" si="43"/>
        <v>4664800</v>
      </c>
      <c r="Z108" s="2">
        <v>220</v>
      </c>
      <c r="AA108" s="2">
        <v>14</v>
      </c>
      <c r="AB108" s="2">
        <f>Z108/E108</f>
        <v>0.61111111111111116</v>
      </c>
      <c r="AC108" s="2">
        <v>7.1</v>
      </c>
      <c r="AD108" s="2">
        <v>45</v>
      </c>
      <c r="AE108" s="2">
        <v>230.4</v>
      </c>
    </row>
    <row r="109" spans="1:31" x14ac:dyDescent="0.3">
      <c r="A109" s="2" t="s">
        <v>311</v>
      </c>
      <c r="B109" s="2" t="s">
        <v>95</v>
      </c>
      <c r="C109" s="2" t="s">
        <v>270</v>
      </c>
      <c r="D109" s="2">
        <v>31.1</v>
      </c>
      <c r="E109" s="2">
        <v>360</v>
      </c>
      <c r="F109" s="2">
        <v>400</v>
      </c>
      <c r="G109" s="2">
        <v>100</v>
      </c>
      <c r="H109" s="2">
        <v>180</v>
      </c>
      <c r="I109" s="2">
        <v>450</v>
      </c>
      <c r="J109" s="2">
        <v>2.5</v>
      </c>
      <c r="K109" s="2">
        <v>533</v>
      </c>
      <c r="L109" s="2">
        <f t="shared" si="41"/>
        <v>56.548667764616276</v>
      </c>
      <c r="M109" s="2">
        <v>0.24099999999999999</v>
      </c>
      <c r="N109" s="2">
        <f>L109*K109</f>
        <v>30140.439918540476</v>
      </c>
      <c r="O109" s="2">
        <v>300</v>
      </c>
      <c r="P109" s="2">
        <f>IF(O109="-","-",O109/E109)</f>
        <v>0.83333333333333337</v>
      </c>
      <c r="Q109" s="2">
        <f>IF(O109="-",0,O109/E109)</f>
        <v>0.83333333333333337</v>
      </c>
      <c r="R109" s="2">
        <f t="shared" si="40"/>
        <v>1874.7454160297091</v>
      </c>
      <c r="S109" s="2">
        <f>R109/E109/H109*100</f>
        <v>2.8931256420211557</v>
      </c>
      <c r="T109" s="2">
        <v>444</v>
      </c>
      <c r="U109" s="2">
        <v>2952</v>
      </c>
      <c r="V109" s="2">
        <v>166.6</v>
      </c>
      <c r="W109" s="2">
        <f t="shared" si="42"/>
        <v>28</v>
      </c>
      <c r="X109" s="2">
        <f>W109/Z109/H109*100/SIN(AD109*PI()/180)</f>
        <v>0.15941215678923779</v>
      </c>
      <c r="Y109" s="2">
        <f t="shared" si="43"/>
        <v>4664800</v>
      </c>
      <c r="Z109" s="2">
        <v>138</v>
      </c>
      <c r="AA109" s="2">
        <v>14</v>
      </c>
      <c r="AB109" s="2">
        <f>Z109/E109</f>
        <v>0.38333333333333336</v>
      </c>
      <c r="AC109" s="2">
        <v>7.1</v>
      </c>
      <c r="AD109" s="2">
        <v>45</v>
      </c>
      <c r="AE109" s="2">
        <v>229.2</v>
      </c>
    </row>
    <row r="110" spans="1:31" x14ac:dyDescent="0.3">
      <c r="A110" s="2" t="s">
        <v>311</v>
      </c>
      <c r="B110" s="2" t="s">
        <v>95</v>
      </c>
      <c r="C110" s="2" t="s">
        <v>274</v>
      </c>
      <c r="D110" s="2">
        <v>31.1</v>
      </c>
      <c r="E110" s="2">
        <v>360</v>
      </c>
      <c r="F110" s="2">
        <v>400</v>
      </c>
      <c r="G110" s="2">
        <v>100</v>
      </c>
      <c r="H110" s="2">
        <v>180</v>
      </c>
      <c r="I110" s="2">
        <v>450</v>
      </c>
      <c r="J110" s="2">
        <v>2.5</v>
      </c>
      <c r="K110" s="2">
        <v>533</v>
      </c>
      <c r="L110" s="2">
        <f t="shared" si="41"/>
        <v>56.548667764616276</v>
      </c>
      <c r="M110" s="2">
        <v>0.24099999999999999</v>
      </c>
      <c r="N110" s="2">
        <f>L110*K110</f>
        <v>30140.439918540476</v>
      </c>
      <c r="O110" s="2">
        <v>300</v>
      </c>
      <c r="P110" s="2">
        <f>IF(O110="-","-",O110/E110)</f>
        <v>0.83333333333333337</v>
      </c>
      <c r="Q110" s="2">
        <f>IF(O110="-",0,O110/E110)</f>
        <v>0.83333333333333337</v>
      </c>
      <c r="R110" s="2">
        <f t="shared" si="40"/>
        <v>1874.7454160297091</v>
      </c>
      <c r="S110" s="2">
        <f>R110/E110/H110*100</f>
        <v>2.8931256420211557</v>
      </c>
      <c r="T110" s="2">
        <v>444</v>
      </c>
      <c r="U110" s="2">
        <v>2952</v>
      </c>
      <c r="V110" s="2">
        <v>166.6</v>
      </c>
      <c r="W110" s="2">
        <f t="shared" si="42"/>
        <v>28</v>
      </c>
      <c r="X110" s="2">
        <f>W110/Z110/H110*100/SIN(AD110*PI()/180)</f>
        <v>5.5267718076271864E-2</v>
      </c>
      <c r="Y110" s="2">
        <f t="shared" si="43"/>
        <v>4664800</v>
      </c>
      <c r="Z110" s="2">
        <v>325</v>
      </c>
      <c r="AA110" s="2">
        <v>14</v>
      </c>
      <c r="AB110" s="2">
        <f>Z110/E110</f>
        <v>0.90277777777777779</v>
      </c>
      <c r="AC110" s="2">
        <v>7.1</v>
      </c>
      <c r="AD110" s="2">
        <v>60</v>
      </c>
      <c r="AE110" s="2">
        <v>224.4</v>
      </c>
    </row>
    <row r="111" spans="1:31" x14ac:dyDescent="0.3">
      <c r="A111" s="2" t="s">
        <v>311</v>
      </c>
      <c r="B111" s="2" t="s">
        <v>95</v>
      </c>
      <c r="C111" s="2" t="s">
        <v>272</v>
      </c>
      <c r="D111" s="2">
        <v>31.1</v>
      </c>
      <c r="E111" s="2">
        <v>360</v>
      </c>
      <c r="F111" s="2">
        <v>400</v>
      </c>
      <c r="G111" s="2">
        <v>100</v>
      </c>
      <c r="H111" s="2">
        <v>180</v>
      </c>
      <c r="I111" s="2">
        <v>450</v>
      </c>
      <c r="J111" s="2">
        <v>2.5</v>
      </c>
      <c r="K111" s="2">
        <v>533</v>
      </c>
      <c r="L111" s="2">
        <f t="shared" si="41"/>
        <v>56.548667764616276</v>
      </c>
      <c r="M111" s="2">
        <v>0.24099999999999999</v>
      </c>
      <c r="N111" s="2">
        <f>L111*K111</f>
        <v>30140.439918540476</v>
      </c>
      <c r="O111" s="2">
        <v>300</v>
      </c>
      <c r="P111" s="2">
        <f>IF(O111="-","-",O111/E111)</f>
        <v>0.83333333333333337</v>
      </c>
      <c r="Q111" s="2">
        <f>IF(O111="-",0,O111/E111)</f>
        <v>0.83333333333333337</v>
      </c>
      <c r="R111" s="2">
        <f t="shared" si="40"/>
        <v>1874.7454160297091</v>
      </c>
      <c r="S111" s="2">
        <f>R111/E111/H111*100</f>
        <v>2.8931256420211557</v>
      </c>
      <c r="T111" s="2">
        <v>444</v>
      </c>
      <c r="U111" s="2">
        <v>2952</v>
      </c>
      <c r="V111" s="2">
        <v>166.6</v>
      </c>
      <c r="W111" s="2">
        <f t="shared" si="42"/>
        <v>28</v>
      </c>
      <c r="X111" s="2">
        <f>W111/Z111/H111*100/SIN(AD111*PI()/180)</f>
        <v>9.2112863460453123E-2</v>
      </c>
      <c r="Y111" s="2">
        <f t="shared" si="43"/>
        <v>4664800</v>
      </c>
      <c r="Z111" s="2">
        <v>195</v>
      </c>
      <c r="AA111" s="2">
        <v>14</v>
      </c>
      <c r="AB111" s="2">
        <f>Z111/E111</f>
        <v>0.54166666666666663</v>
      </c>
      <c r="AC111" s="2">
        <v>7.1</v>
      </c>
      <c r="AD111" s="2">
        <v>60</v>
      </c>
      <c r="AE111" s="2">
        <v>235.2</v>
      </c>
    </row>
    <row r="112" spans="1:31" x14ac:dyDescent="0.3">
      <c r="A112" s="2" t="s">
        <v>311</v>
      </c>
      <c r="B112" s="2" t="s">
        <v>95</v>
      </c>
      <c r="C112" s="2" t="s">
        <v>271</v>
      </c>
      <c r="D112" s="2">
        <v>31.1</v>
      </c>
      <c r="E112" s="2">
        <v>360</v>
      </c>
      <c r="F112" s="2">
        <v>400</v>
      </c>
      <c r="G112" s="2">
        <v>100</v>
      </c>
      <c r="H112" s="2">
        <v>180</v>
      </c>
      <c r="I112" s="2">
        <v>450</v>
      </c>
      <c r="J112" s="2">
        <v>2.5</v>
      </c>
      <c r="K112" s="2">
        <v>533</v>
      </c>
      <c r="L112" s="2">
        <f t="shared" si="41"/>
        <v>56.548667764616276</v>
      </c>
      <c r="M112" s="2">
        <v>0.24099999999999999</v>
      </c>
      <c r="N112" s="2">
        <f>L112*K112</f>
        <v>30140.439918540476</v>
      </c>
      <c r="O112" s="2">
        <v>300</v>
      </c>
      <c r="P112" s="2">
        <f>IF(O112="-","-",O112/E112)</f>
        <v>0.83333333333333337</v>
      </c>
      <c r="Q112" s="2">
        <f>IF(O112="-",0,O112/E112)</f>
        <v>0.83333333333333337</v>
      </c>
      <c r="R112" s="2">
        <f t="shared" si="40"/>
        <v>1874.7454160297091</v>
      </c>
      <c r="S112" s="2">
        <f>R112/E112/H112*100</f>
        <v>2.8931256420211557</v>
      </c>
      <c r="T112" s="2">
        <v>444</v>
      </c>
      <c r="U112" s="2">
        <v>2952</v>
      </c>
      <c r="V112" s="2">
        <v>166.6</v>
      </c>
      <c r="W112" s="2">
        <f t="shared" si="42"/>
        <v>28</v>
      </c>
      <c r="X112" s="2">
        <f>W112/Z112/H112*100/SIN(AD112*PI()/180)</f>
        <v>0.12922308183300976</v>
      </c>
      <c r="Y112" s="2">
        <f t="shared" si="43"/>
        <v>4664800</v>
      </c>
      <c r="Z112" s="2">
        <v>139</v>
      </c>
      <c r="AA112" s="2">
        <v>14</v>
      </c>
      <c r="AB112" s="2">
        <f>Z112/E112</f>
        <v>0.38611111111111113</v>
      </c>
      <c r="AC112" s="2">
        <v>7.1</v>
      </c>
      <c r="AD112" s="2">
        <v>60</v>
      </c>
      <c r="AE112" s="2">
        <v>243.6</v>
      </c>
    </row>
    <row r="113" spans="1:31" x14ac:dyDescent="0.3">
      <c r="A113" s="2" t="s">
        <v>180</v>
      </c>
      <c r="B113" s="2" t="s">
        <v>95</v>
      </c>
      <c r="C113" s="2" t="s">
        <v>181</v>
      </c>
      <c r="D113" s="2">
        <v>39.700000000000003</v>
      </c>
      <c r="E113" s="2">
        <v>360</v>
      </c>
      <c r="F113" s="2">
        <v>400</v>
      </c>
      <c r="G113" s="2">
        <v>100</v>
      </c>
      <c r="H113" s="2">
        <v>180</v>
      </c>
      <c r="I113" s="2">
        <v>450</v>
      </c>
      <c r="J113" s="2">
        <f t="shared" ref="J113:J124" si="44">900/E113</f>
        <v>2.5</v>
      </c>
      <c r="K113" s="2" t="s">
        <v>210</v>
      </c>
      <c r="L113" s="2" t="s">
        <v>210</v>
      </c>
      <c r="M113" s="2" t="s">
        <v>210</v>
      </c>
      <c r="N113" s="2">
        <v>0</v>
      </c>
      <c r="O113" s="2" t="s">
        <v>210</v>
      </c>
      <c r="P113" s="2" t="s">
        <v>210</v>
      </c>
      <c r="Q113" s="2">
        <v>5</v>
      </c>
      <c r="R113" s="2">
        <v>1810</v>
      </c>
      <c r="S113" s="2">
        <f>R113/E113/H113*100</f>
        <v>2.7932098765432101</v>
      </c>
      <c r="T113" s="2">
        <v>759</v>
      </c>
      <c r="U113" s="2" t="s">
        <v>210</v>
      </c>
      <c r="V113" s="2" t="s">
        <v>210</v>
      </c>
      <c r="W113" s="2">
        <v>0</v>
      </c>
      <c r="X113" s="2">
        <v>0</v>
      </c>
      <c r="Y113" s="2">
        <v>0</v>
      </c>
      <c r="Z113" s="2" t="s">
        <v>210</v>
      </c>
      <c r="AA113" s="2" t="s">
        <v>210</v>
      </c>
      <c r="AB113" s="2">
        <v>5</v>
      </c>
      <c r="AC113" s="2">
        <v>1</v>
      </c>
      <c r="AD113" s="2">
        <v>90</v>
      </c>
      <c r="AE113" s="2">
        <v>124.2</v>
      </c>
    </row>
    <row r="114" spans="1:31" x14ac:dyDescent="0.3">
      <c r="A114" s="2" t="s">
        <v>310</v>
      </c>
      <c r="B114" s="2" t="s">
        <v>95</v>
      </c>
      <c r="C114" s="2" t="s">
        <v>266</v>
      </c>
      <c r="D114" s="2">
        <v>39.700000000000003</v>
      </c>
      <c r="E114" s="2">
        <v>360</v>
      </c>
      <c r="F114" s="2">
        <v>400</v>
      </c>
      <c r="G114" s="2">
        <v>100</v>
      </c>
      <c r="H114" s="2">
        <v>180</v>
      </c>
      <c r="I114" s="2">
        <v>450</v>
      </c>
      <c r="J114" s="2">
        <f t="shared" si="44"/>
        <v>2.5</v>
      </c>
      <c r="K114" s="2">
        <v>542</v>
      </c>
      <c r="L114" s="2">
        <f t="shared" ref="L114:L132" si="45">PI()*6^2/2</f>
        <v>56.548667764616276</v>
      </c>
      <c r="M114" s="2">
        <f>L114/O114/H114*100</f>
        <v>0.10471975511965977</v>
      </c>
      <c r="N114" s="2">
        <f>L114*K114</f>
        <v>30649.377928422022</v>
      </c>
      <c r="O114" s="2">
        <v>300</v>
      </c>
      <c r="P114" s="2">
        <f>IF(O114="-","-",IF(N114=0,"-",O114/E114))</f>
        <v>0.83333333333333337</v>
      </c>
      <c r="Q114" s="2">
        <f>IF(O114="-",0,O114/E114)</f>
        <v>0.83333333333333337</v>
      </c>
      <c r="R114" s="2">
        <v>1810</v>
      </c>
      <c r="S114" s="2">
        <f>R114/E114/H114*100</f>
        <v>2.7932098765432101</v>
      </c>
      <c r="T114" s="2">
        <v>759</v>
      </c>
      <c r="U114" s="2" t="s">
        <v>210</v>
      </c>
      <c r="V114" s="2" t="s">
        <v>210</v>
      </c>
      <c r="W114" s="2">
        <v>0</v>
      </c>
      <c r="X114" s="2">
        <v>0</v>
      </c>
      <c r="Y114" s="2">
        <v>0</v>
      </c>
      <c r="Z114" s="2" t="s">
        <v>210</v>
      </c>
      <c r="AA114" s="2" t="s">
        <v>210</v>
      </c>
      <c r="AB114" s="2">
        <v>5</v>
      </c>
      <c r="AC114" s="2">
        <v>1</v>
      </c>
      <c r="AD114" s="2">
        <v>90</v>
      </c>
      <c r="AE114" s="2">
        <v>182.28</v>
      </c>
    </row>
    <row r="115" spans="1:31" x14ac:dyDescent="0.3">
      <c r="A115" s="2" t="s">
        <v>180</v>
      </c>
      <c r="B115" s="2" t="s">
        <v>95</v>
      </c>
      <c r="C115" s="2" t="s">
        <v>182</v>
      </c>
      <c r="D115" s="2">
        <v>39.700000000000003</v>
      </c>
      <c r="E115" s="2">
        <v>360</v>
      </c>
      <c r="F115" s="2">
        <v>400</v>
      </c>
      <c r="G115" s="2">
        <v>100</v>
      </c>
      <c r="H115" s="2">
        <v>180</v>
      </c>
      <c r="I115" s="2">
        <v>450</v>
      </c>
      <c r="J115" s="2">
        <f t="shared" si="44"/>
        <v>2.5</v>
      </c>
      <c r="K115" s="2">
        <v>542</v>
      </c>
      <c r="L115" s="2">
        <f t="shared" si="45"/>
        <v>56.548667764616276</v>
      </c>
      <c r="M115" s="2">
        <f>L115/O115/H115*100</f>
        <v>0.27925268031909273</v>
      </c>
      <c r="N115" s="2">
        <f>L115*K115</f>
        <v>30649.377928422022</v>
      </c>
      <c r="O115" s="2">
        <v>112.5</v>
      </c>
      <c r="P115" s="2">
        <f>IF(O115="-","-",O115/E115)</f>
        <v>0.3125</v>
      </c>
      <c r="Q115" s="2">
        <f>IF(O115="-",0,O115/E115)</f>
        <v>0.3125</v>
      </c>
      <c r="R115" s="2">
        <v>1810</v>
      </c>
      <c r="S115" s="2">
        <f>R115/E115/H115*100</f>
        <v>2.7932098765432101</v>
      </c>
      <c r="T115" s="2">
        <v>759</v>
      </c>
      <c r="U115" s="2" t="s">
        <v>210</v>
      </c>
      <c r="V115" s="2" t="s">
        <v>210</v>
      </c>
      <c r="W115" s="2">
        <v>0</v>
      </c>
      <c r="X115" s="2">
        <v>0</v>
      </c>
      <c r="Y115" s="2">
        <v>0</v>
      </c>
      <c r="Z115" s="2" t="s">
        <v>210</v>
      </c>
      <c r="AA115" s="2" t="s">
        <v>210</v>
      </c>
      <c r="AB115" s="2">
        <v>5</v>
      </c>
      <c r="AC115" s="2">
        <v>1</v>
      </c>
      <c r="AD115" s="2">
        <v>90</v>
      </c>
      <c r="AE115" s="2">
        <v>280.5</v>
      </c>
    </row>
    <row r="116" spans="1:31" x14ac:dyDescent="0.3">
      <c r="A116" s="2" t="s">
        <v>310</v>
      </c>
      <c r="B116" s="2" t="s">
        <v>95</v>
      </c>
      <c r="C116" s="2" t="s">
        <v>213</v>
      </c>
      <c r="D116" s="2">
        <v>39.700000000000003</v>
      </c>
      <c r="E116" s="2">
        <v>360</v>
      </c>
      <c r="F116" s="2">
        <v>400</v>
      </c>
      <c r="G116" s="2">
        <v>100</v>
      </c>
      <c r="H116" s="2">
        <v>180</v>
      </c>
      <c r="I116" s="2">
        <v>450</v>
      </c>
      <c r="J116" s="2">
        <f t="shared" si="44"/>
        <v>2.5</v>
      </c>
      <c r="K116" s="2">
        <v>542</v>
      </c>
      <c r="L116" s="2">
        <f t="shared" si="45"/>
        <v>56.548667764616276</v>
      </c>
      <c r="M116" s="2">
        <f>L116/O116/H116*100</f>
        <v>0.10471975511965977</v>
      </c>
      <c r="N116" s="2">
        <f>L116*K116</f>
        <v>30649.377928422022</v>
      </c>
      <c r="O116" s="2">
        <v>300</v>
      </c>
      <c r="P116" s="2">
        <f>IF(O116="-","-",IF(N116=0,"-",O116/E116))</f>
        <v>0.83333333333333337</v>
      </c>
      <c r="Q116" s="2">
        <f>IF(O116="-",0,O116/E116)</f>
        <v>0.83333333333333337</v>
      </c>
      <c r="R116" s="2">
        <v>1810</v>
      </c>
      <c r="S116" s="2">
        <f>R116/E116/H116*100</f>
        <v>2.7932098765432101</v>
      </c>
      <c r="T116" s="2">
        <v>759</v>
      </c>
      <c r="U116" s="2">
        <v>2741.7</v>
      </c>
      <c r="V116" s="2">
        <v>170.9</v>
      </c>
      <c r="W116" s="2">
        <f t="shared" ref="W116:W124" si="46">AA116*2</f>
        <v>26.599999999999998</v>
      </c>
      <c r="X116" s="2">
        <f>W116/Z116/H116*100/SIN(AD116*PI()/180)</f>
        <v>8.209876543209875E-2</v>
      </c>
      <c r="Y116" s="2">
        <f t="shared" ref="Y116:Y124" si="47">W116*V116*1000</f>
        <v>4545940</v>
      </c>
      <c r="Z116" s="2">
        <v>180</v>
      </c>
      <c r="AA116" s="2">
        <f t="shared" ref="AA116:AA124" si="48">9.5*1.4</f>
        <v>13.299999999999999</v>
      </c>
      <c r="AB116" s="2">
        <f>Z116/E116</f>
        <v>0.5</v>
      </c>
      <c r="AC116" s="2">
        <v>6.8</v>
      </c>
      <c r="AD116" s="2">
        <v>90</v>
      </c>
      <c r="AE116" s="2">
        <v>202.44</v>
      </c>
    </row>
    <row r="117" spans="1:31" x14ac:dyDescent="0.3">
      <c r="A117" s="2" t="s">
        <v>310</v>
      </c>
      <c r="B117" s="2" t="s">
        <v>95</v>
      </c>
      <c r="C117" s="2" t="s">
        <v>214</v>
      </c>
      <c r="D117" s="2">
        <v>39.700000000000003</v>
      </c>
      <c r="E117" s="2">
        <v>360</v>
      </c>
      <c r="F117" s="2">
        <v>400</v>
      </c>
      <c r="G117" s="2">
        <v>100</v>
      </c>
      <c r="H117" s="2">
        <v>180</v>
      </c>
      <c r="I117" s="2">
        <v>450</v>
      </c>
      <c r="J117" s="2">
        <f t="shared" si="44"/>
        <v>2.5</v>
      </c>
      <c r="K117" s="2">
        <v>542</v>
      </c>
      <c r="L117" s="2">
        <f t="shared" si="45"/>
        <v>56.548667764616276</v>
      </c>
      <c r="M117" s="2">
        <f>L117/O117/H117*100</f>
        <v>0.10471975511965977</v>
      </c>
      <c r="N117" s="2">
        <f>L117*K117</f>
        <v>30649.377928422022</v>
      </c>
      <c r="O117" s="2">
        <v>300</v>
      </c>
      <c r="P117" s="2">
        <f>IF(O117="-","-",IF(N117=0,"-",O117/E117))</f>
        <v>0.83333333333333337</v>
      </c>
      <c r="Q117" s="2">
        <f>IF(O117="-",0,O117/E117)</f>
        <v>0.83333333333333337</v>
      </c>
      <c r="R117" s="2">
        <v>1810</v>
      </c>
      <c r="S117" s="2">
        <f>R117/E117/H117*100</f>
        <v>2.7932098765432101</v>
      </c>
      <c r="T117" s="2">
        <v>759</v>
      </c>
      <c r="U117" s="2">
        <v>2741.7</v>
      </c>
      <c r="V117" s="2">
        <v>170.9</v>
      </c>
      <c r="W117" s="2">
        <f t="shared" si="46"/>
        <v>26.599999999999998</v>
      </c>
      <c r="X117" s="2">
        <f>W117/Z117/H117*100/SIN(AD117*PI()/180)</f>
        <v>0.12962962962962962</v>
      </c>
      <c r="Y117" s="2">
        <f t="shared" si="47"/>
        <v>4545940</v>
      </c>
      <c r="Z117" s="2">
        <v>114</v>
      </c>
      <c r="AA117" s="2">
        <f t="shared" si="48"/>
        <v>13.299999999999999</v>
      </c>
      <c r="AB117" s="2">
        <f>Z117/E117</f>
        <v>0.31666666666666665</v>
      </c>
      <c r="AC117" s="2">
        <v>6.8</v>
      </c>
      <c r="AD117" s="2">
        <v>90</v>
      </c>
      <c r="AE117" s="2">
        <v>224.46</v>
      </c>
    </row>
    <row r="118" spans="1:31" x14ac:dyDescent="0.3">
      <c r="A118" s="2" t="s">
        <v>310</v>
      </c>
      <c r="B118" s="2" t="s">
        <v>95</v>
      </c>
      <c r="C118" s="2" t="s">
        <v>215</v>
      </c>
      <c r="D118" s="2">
        <v>39.700000000000003</v>
      </c>
      <c r="E118" s="2">
        <v>360</v>
      </c>
      <c r="F118" s="2">
        <v>400</v>
      </c>
      <c r="G118" s="2">
        <v>100</v>
      </c>
      <c r="H118" s="2">
        <v>180</v>
      </c>
      <c r="I118" s="2">
        <v>450</v>
      </c>
      <c r="J118" s="2">
        <f t="shared" si="44"/>
        <v>2.5</v>
      </c>
      <c r="K118" s="2">
        <v>542</v>
      </c>
      <c r="L118" s="2">
        <f t="shared" si="45"/>
        <v>56.548667764616276</v>
      </c>
      <c r="M118" s="2">
        <f>L118/O118/H118*100</f>
        <v>0.10471975511965977</v>
      </c>
      <c r="N118" s="2">
        <f>L118*K118</f>
        <v>30649.377928422022</v>
      </c>
      <c r="O118" s="2">
        <v>300</v>
      </c>
      <c r="P118" s="2">
        <f>IF(O118="-","-",IF(N118=0,"-",O118/E118))</f>
        <v>0.83333333333333337</v>
      </c>
      <c r="Q118" s="2">
        <f>IF(O118="-",0,O118/E118)</f>
        <v>0.83333333333333337</v>
      </c>
      <c r="R118" s="2">
        <v>1810</v>
      </c>
      <c r="S118" s="2">
        <f>R118/E118/H118*100</f>
        <v>2.7932098765432101</v>
      </c>
      <c r="T118" s="2">
        <v>759</v>
      </c>
      <c r="U118" s="2">
        <v>2741.7</v>
      </c>
      <c r="V118" s="2">
        <v>170.9</v>
      </c>
      <c r="W118" s="2">
        <f t="shared" si="46"/>
        <v>26.599999999999998</v>
      </c>
      <c r="X118" s="2">
        <f>W118/Z118/H118*100/SIN(AD118*PI()/180)</f>
        <v>0.1847222222222222</v>
      </c>
      <c r="Y118" s="2">
        <f t="shared" si="47"/>
        <v>4545940</v>
      </c>
      <c r="Z118" s="2">
        <v>80</v>
      </c>
      <c r="AA118" s="2">
        <f t="shared" si="48"/>
        <v>13.299999999999999</v>
      </c>
      <c r="AB118" s="2">
        <f>Z118/E118</f>
        <v>0.22222222222222221</v>
      </c>
      <c r="AC118" s="2">
        <v>6.8</v>
      </c>
      <c r="AD118" s="2">
        <v>90</v>
      </c>
      <c r="AE118" s="2">
        <v>238.5</v>
      </c>
    </row>
    <row r="119" spans="1:31" x14ac:dyDescent="0.3">
      <c r="A119" s="2" t="s">
        <v>310</v>
      </c>
      <c r="B119" s="2" t="s">
        <v>95</v>
      </c>
      <c r="C119" s="2" t="s">
        <v>216</v>
      </c>
      <c r="D119" s="2">
        <v>39.700000000000003</v>
      </c>
      <c r="E119" s="2">
        <v>360</v>
      </c>
      <c r="F119" s="2">
        <v>400</v>
      </c>
      <c r="G119" s="2">
        <v>100</v>
      </c>
      <c r="H119" s="2">
        <v>180</v>
      </c>
      <c r="I119" s="2">
        <v>450</v>
      </c>
      <c r="J119" s="2">
        <f t="shared" si="44"/>
        <v>2.5</v>
      </c>
      <c r="K119" s="2">
        <v>542</v>
      </c>
      <c r="L119" s="2">
        <f t="shared" si="45"/>
        <v>56.548667764616276</v>
      </c>
      <c r="M119" s="2">
        <f>L119/O119/H119*100</f>
        <v>0.10471975511965977</v>
      </c>
      <c r="N119" s="2">
        <f>L119*K119</f>
        <v>30649.377928422022</v>
      </c>
      <c r="O119" s="2">
        <v>300</v>
      </c>
      <c r="P119" s="2">
        <f>IF(O119="-","-",IF(N119=0,"-",O119/E119))</f>
        <v>0.83333333333333337</v>
      </c>
      <c r="Q119" s="2">
        <f>IF(O119="-",0,O119/E119)</f>
        <v>0.83333333333333337</v>
      </c>
      <c r="R119" s="2">
        <v>1810</v>
      </c>
      <c r="S119" s="2">
        <f>R119/E119/H119*100</f>
        <v>2.7932098765432101</v>
      </c>
      <c r="T119" s="2">
        <v>759</v>
      </c>
      <c r="U119" s="2">
        <v>2741.7</v>
      </c>
      <c r="V119" s="2">
        <v>170.9</v>
      </c>
      <c r="W119" s="2">
        <f t="shared" si="46"/>
        <v>26.599999999999998</v>
      </c>
      <c r="X119" s="2">
        <f>W119/Z119/H119*100/SIN(AD119*PI()/180)</f>
        <v>7.5996122745705705E-2</v>
      </c>
      <c r="Y119" s="2">
        <f t="shared" si="47"/>
        <v>4545940</v>
      </c>
      <c r="Z119" s="2">
        <v>275</v>
      </c>
      <c r="AA119" s="2">
        <f t="shared" si="48"/>
        <v>13.299999999999999</v>
      </c>
      <c r="AB119" s="2">
        <f>Z119/E119</f>
        <v>0.76388888888888884</v>
      </c>
      <c r="AC119" s="2">
        <v>6.8</v>
      </c>
      <c r="AD119" s="2">
        <v>45</v>
      </c>
      <c r="AE119" s="2">
        <v>235.68</v>
      </c>
    </row>
    <row r="120" spans="1:31" x14ac:dyDescent="0.3">
      <c r="A120" s="2" t="s">
        <v>310</v>
      </c>
      <c r="B120" s="2" t="s">
        <v>95</v>
      </c>
      <c r="C120" s="2" t="s">
        <v>217</v>
      </c>
      <c r="D120" s="2">
        <v>39.700000000000003</v>
      </c>
      <c r="E120" s="2">
        <v>360</v>
      </c>
      <c r="F120" s="2">
        <v>400</v>
      </c>
      <c r="G120" s="2">
        <v>100</v>
      </c>
      <c r="H120" s="2">
        <v>180</v>
      </c>
      <c r="I120" s="2">
        <v>450</v>
      </c>
      <c r="J120" s="2">
        <f t="shared" si="44"/>
        <v>2.5</v>
      </c>
      <c r="K120" s="2">
        <v>542</v>
      </c>
      <c r="L120" s="2">
        <f t="shared" si="45"/>
        <v>56.548667764616276</v>
      </c>
      <c r="M120" s="2">
        <f>L120/O120/H120*100</f>
        <v>0.10471975511965977</v>
      </c>
      <c r="N120" s="2">
        <f>L120*K120</f>
        <v>30649.377928422022</v>
      </c>
      <c r="O120" s="2">
        <v>300</v>
      </c>
      <c r="P120" s="2">
        <f>IF(O120="-","-",IF(N120=0,"-",O120/E120))</f>
        <v>0.83333333333333337</v>
      </c>
      <c r="Q120" s="2">
        <f>IF(O120="-",0,O120/E120)</f>
        <v>0.83333333333333337</v>
      </c>
      <c r="R120" s="2">
        <v>1810</v>
      </c>
      <c r="S120" s="2">
        <f>R120/E120/H120*100</f>
        <v>2.7932098765432101</v>
      </c>
      <c r="T120" s="2">
        <v>759</v>
      </c>
      <c r="U120" s="2">
        <v>2741.7</v>
      </c>
      <c r="V120" s="2">
        <v>170.9</v>
      </c>
      <c r="W120" s="2">
        <f t="shared" si="46"/>
        <v>26.599999999999998</v>
      </c>
      <c r="X120" s="2">
        <f>W120/Z120/H120*100/SIN(AD120*PI()/180)</f>
        <v>0.13311422773929346</v>
      </c>
      <c r="Y120" s="2">
        <f t="shared" si="47"/>
        <v>4545940</v>
      </c>
      <c r="Z120" s="2">
        <v>157</v>
      </c>
      <c r="AA120" s="2">
        <f t="shared" si="48"/>
        <v>13.299999999999999</v>
      </c>
      <c r="AB120" s="2">
        <f>Z120/E120</f>
        <v>0.43611111111111112</v>
      </c>
      <c r="AC120" s="2">
        <v>6.8</v>
      </c>
      <c r="AD120" s="2">
        <v>45</v>
      </c>
      <c r="AE120" s="2">
        <v>253.01999999999998</v>
      </c>
    </row>
    <row r="121" spans="1:31" x14ac:dyDescent="0.3">
      <c r="A121" s="2" t="s">
        <v>310</v>
      </c>
      <c r="B121" s="2" t="s">
        <v>95</v>
      </c>
      <c r="C121" s="2" t="s">
        <v>218</v>
      </c>
      <c r="D121" s="2">
        <v>39.700000000000003</v>
      </c>
      <c r="E121" s="2">
        <v>360</v>
      </c>
      <c r="F121" s="2">
        <v>400</v>
      </c>
      <c r="G121" s="2">
        <v>100</v>
      </c>
      <c r="H121" s="2">
        <v>180</v>
      </c>
      <c r="I121" s="2">
        <v>450</v>
      </c>
      <c r="J121" s="2">
        <f t="shared" si="44"/>
        <v>2.5</v>
      </c>
      <c r="K121" s="2">
        <v>542</v>
      </c>
      <c r="L121" s="2">
        <f t="shared" si="45"/>
        <v>56.548667764616276</v>
      </c>
      <c r="M121" s="2">
        <f>L121/O121/H121*100</f>
        <v>0.10471975511965977</v>
      </c>
      <c r="N121" s="2">
        <f>L121*K121</f>
        <v>30649.377928422022</v>
      </c>
      <c r="O121" s="2">
        <v>300</v>
      </c>
      <c r="P121" s="2">
        <f>IF(O121="-","-",IF(N121=0,"-",O121/E121))</f>
        <v>0.83333333333333337</v>
      </c>
      <c r="Q121" s="2">
        <f>IF(O121="-",0,O121/E121)</f>
        <v>0.83333333333333337</v>
      </c>
      <c r="R121" s="2">
        <v>1810</v>
      </c>
      <c r="S121" s="2">
        <f>R121/E121/H121*100</f>
        <v>2.7932098765432101</v>
      </c>
      <c r="T121" s="2">
        <v>759</v>
      </c>
      <c r="U121" s="2">
        <v>2741.7</v>
      </c>
      <c r="V121" s="2">
        <v>170.9</v>
      </c>
      <c r="W121" s="2">
        <f t="shared" si="46"/>
        <v>26.599999999999998</v>
      </c>
      <c r="X121" s="2">
        <f>W121/Z121/H121*100/SIN(AD121*PI()/180)</f>
        <v>0.1899903068642643</v>
      </c>
      <c r="Y121" s="2">
        <f t="shared" si="47"/>
        <v>4545940</v>
      </c>
      <c r="Z121" s="2">
        <v>110</v>
      </c>
      <c r="AA121" s="2">
        <f t="shared" si="48"/>
        <v>13.299999999999999</v>
      </c>
      <c r="AB121" s="2">
        <f>Z121/E121</f>
        <v>0.30555555555555558</v>
      </c>
      <c r="AC121" s="2">
        <v>6.8</v>
      </c>
      <c r="AD121" s="2">
        <v>45</v>
      </c>
      <c r="AE121" s="2">
        <v>267.89999999999998</v>
      </c>
    </row>
    <row r="122" spans="1:31" x14ac:dyDescent="0.3">
      <c r="A122" s="2" t="s">
        <v>310</v>
      </c>
      <c r="B122" s="2" t="s">
        <v>95</v>
      </c>
      <c r="C122" s="2" t="s">
        <v>219</v>
      </c>
      <c r="D122" s="2">
        <v>39.700000000000003</v>
      </c>
      <c r="E122" s="2">
        <v>360</v>
      </c>
      <c r="F122" s="2">
        <v>400</v>
      </c>
      <c r="G122" s="2">
        <v>100</v>
      </c>
      <c r="H122" s="2">
        <v>180</v>
      </c>
      <c r="I122" s="2">
        <v>450</v>
      </c>
      <c r="J122" s="2">
        <f t="shared" si="44"/>
        <v>2.5</v>
      </c>
      <c r="K122" s="2">
        <v>542</v>
      </c>
      <c r="L122" s="2">
        <f t="shared" si="45"/>
        <v>56.548667764616276</v>
      </c>
      <c r="M122" s="2">
        <f>L122/O122/H122*100</f>
        <v>0.10471975511965977</v>
      </c>
      <c r="N122" s="2">
        <f>L122*K122</f>
        <v>30649.377928422022</v>
      </c>
      <c r="O122" s="2">
        <v>300</v>
      </c>
      <c r="P122" s="2">
        <f>IF(O122="-","-",IF(N122=0,"-",O122/E122))</f>
        <v>0.83333333333333337</v>
      </c>
      <c r="Q122" s="2">
        <f>IF(O122="-",0,O122/E122)</f>
        <v>0.83333333333333337</v>
      </c>
      <c r="R122" s="2">
        <v>1810</v>
      </c>
      <c r="S122" s="2">
        <f>R122/E122/H122*100</f>
        <v>2.7932098765432101</v>
      </c>
      <c r="T122" s="2">
        <v>759</v>
      </c>
      <c r="U122" s="2">
        <v>2741.7</v>
      </c>
      <c r="V122" s="2">
        <v>170.9</v>
      </c>
      <c r="W122" s="2">
        <f t="shared" si="46"/>
        <v>26.599999999999998</v>
      </c>
      <c r="X122" s="2">
        <f>W122/Z122/H122*100/SIN(AD122*PI()/180)</f>
        <v>7.0221843440530604E-2</v>
      </c>
      <c r="Y122" s="2">
        <f t="shared" si="47"/>
        <v>4545940</v>
      </c>
      <c r="Z122" s="2">
        <v>243</v>
      </c>
      <c r="AA122" s="2">
        <f t="shared" si="48"/>
        <v>13.299999999999999</v>
      </c>
      <c r="AB122" s="2">
        <f>Z122/E122</f>
        <v>0.67500000000000004</v>
      </c>
      <c r="AC122" s="2">
        <v>6.8</v>
      </c>
      <c r="AD122" s="2">
        <v>60</v>
      </c>
      <c r="AE122" s="2">
        <v>231.83999999999997</v>
      </c>
    </row>
    <row r="123" spans="1:31" x14ac:dyDescent="0.3">
      <c r="A123" s="2" t="s">
        <v>310</v>
      </c>
      <c r="B123" s="2" t="s">
        <v>95</v>
      </c>
      <c r="C123" s="2" t="s">
        <v>220</v>
      </c>
      <c r="D123" s="2">
        <v>39.700000000000003</v>
      </c>
      <c r="E123" s="2">
        <v>360</v>
      </c>
      <c r="F123" s="2">
        <v>400</v>
      </c>
      <c r="G123" s="2">
        <v>100</v>
      </c>
      <c r="H123" s="2">
        <v>180</v>
      </c>
      <c r="I123" s="2">
        <v>450</v>
      </c>
      <c r="J123" s="2">
        <f t="shared" si="44"/>
        <v>2.5</v>
      </c>
      <c r="K123" s="2">
        <v>542</v>
      </c>
      <c r="L123" s="2">
        <f t="shared" si="45"/>
        <v>56.548667764616276</v>
      </c>
      <c r="M123" s="2">
        <f>L123/O123/H123*100</f>
        <v>0.10471975511965977</v>
      </c>
      <c r="N123" s="2">
        <f>L123*K123</f>
        <v>30649.377928422022</v>
      </c>
      <c r="O123" s="2">
        <v>300</v>
      </c>
      <c r="P123" s="2">
        <f>IF(O123="-","-",IF(N123=0,"-",O123/E123))</f>
        <v>0.83333333333333337</v>
      </c>
      <c r="Q123" s="2">
        <f>IF(O123="-",0,O123/E123)</f>
        <v>0.83333333333333337</v>
      </c>
      <c r="R123" s="2">
        <v>1810</v>
      </c>
      <c r="S123" s="2">
        <f>R123/E123/H123*100</f>
        <v>2.7932098765432101</v>
      </c>
      <c r="T123" s="2">
        <v>759</v>
      </c>
      <c r="U123" s="2">
        <v>2741.7</v>
      </c>
      <c r="V123" s="2">
        <v>170.9</v>
      </c>
      <c r="W123" s="2">
        <f t="shared" si="46"/>
        <v>26.599999999999998</v>
      </c>
      <c r="X123" s="2">
        <f>W123/Z123/H123*100/SIN(AD123*PI()/180)</f>
        <v>0.10533276516079593</v>
      </c>
      <c r="Y123" s="2">
        <f t="shared" si="47"/>
        <v>4545940</v>
      </c>
      <c r="Z123" s="2">
        <v>162</v>
      </c>
      <c r="AA123" s="2">
        <f t="shared" si="48"/>
        <v>13.299999999999999</v>
      </c>
      <c r="AB123" s="2">
        <f>Z123/E123</f>
        <v>0.45</v>
      </c>
      <c r="AC123" s="2">
        <v>6.8</v>
      </c>
      <c r="AD123" s="2">
        <v>60</v>
      </c>
      <c r="AE123" s="2">
        <v>236.64</v>
      </c>
    </row>
    <row r="124" spans="1:31" x14ac:dyDescent="0.3">
      <c r="A124" s="2" t="s">
        <v>310</v>
      </c>
      <c r="B124" s="2" t="s">
        <v>95</v>
      </c>
      <c r="C124" s="2" t="s">
        <v>221</v>
      </c>
      <c r="D124" s="2">
        <v>39.700000000000003</v>
      </c>
      <c r="E124" s="2">
        <v>360</v>
      </c>
      <c r="F124" s="2">
        <v>400</v>
      </c>
      <c r="G124" s="2">
        <v>100</v>
      </c>
      <c r="H124" s="2">
        <v>180</v>
      </c>
      <c r="I124" s="2">
        <v>450</v>
      </c>
      <c r="J124" s="2">
        <f t="shared" si="44"/>
        <v>2.5</v>
      </c>
      <c r="K124" s="2">
        <v>542</v>
      </c>
      <c r="L124" s="2">
        <f t="shared" si="45"/>
        <v>56.548667764616276</v>
      </c>
      <c r="M124" s="2">
        <f>L124/O124/H124*100</f>
        <v>0.10471975511965977</v>
      </c>
      <c r="N124" s="2">
        <f>L124*K124</f>
        <v>30649.377928422022</v>
      </c>
      <c r="O124" s="2">
        <v>300</v>
      </c>
      <c r="P124" s="2">
        <f>IF(O124="-","-",O124/E124)</f>
        <v>0.83333333333333337</v>
      </c>
      <c r="Q124" s="2">
        <f>IF(O124="-",0,O124/E124)</f>
        <v>0.83333333333333337</v>
      </c>
      <c r="R124" s="2">
        <v>1810</v>
      </c>
      <c r="S124" s="2">
        <f>R124/E124/H124*100</f>
        <v>2.7932098765432101</v>
      </c>
      <c r="T124" s="2">
        <v>759</v>
      </c>
      <c r="U124" s="2">
        <v>2741.7</v>
      </c>
      <c r="V124" s="2">
        <v>170.9</v>
      </c>
      <c r="W124" s="2">
        <f t="shared" si="46"/>
        <v>26.599999999999998</v>
      </c>
      <c r="X124" s="2">
        <f>W124/Z124/H124*100/SIN(AD124*PI()/180)</f>
        <v>0.15799914774119389</v>
      </c>
      <c r="Y124" s="2">
        <f t="shared" si="47"/>
        <v>4545940</v>
      </c>
      <c r="Z124" s="2">
        <v>108</v>
      </c>
      <c r="AA124" s="2">
        <f t="shared" si="48"/>
        <v>13.299999999999999</v>
      </c>
      <c r="AB124" s="2">
        <f>Z124/E124</f>
        <v>0.3</v>
      </c>
      <c r="AC124" s="2">
        <v>6.8</v>
      </c>
      <c r="AD124" s="2">
        <v>60</v>
      </c>
      <c r="AE124" s="2">
        <v>247.62</v>
      </c>
    </row>
    <row r="125" spans="1:31" x14ac:dyDescent="0.3">
      <c r="A125" s="2" t="s">
        <v>310</v>
      </c>
      <c r="B125" s="2" t="s">
        <v>95</v>
      </c>
      <c r="C125" s="2" t="s">
        <v>283</v>
      </c>
      <c r="D125" s="2">
        <v>39.700000000000003</v>
      </c>
      <c r="E125" s="2">
        <v>360</v>
      </c>
      <c r="F125" s="2">
        <v>400</v>
      </c>
      <c r="G125" s="2">
        <v>100</v>
      </c>
      <c r="H125" s="2">
        <v>180</v>
      </c>
      <c r="I125" s="2">
        <v>450</v>
      </c>
      <c r="J125" s="2">
        <v>2.5</v>
      </c>
      <c r="K125" s="2">
        <v>542</v>
      </c>
      <c r="L125" s="2">
        <f t="shared" si="45"/>
        <v>56.548667764616276</v>
      </c>
      <c r="M125" s="2">
        <f>L125/O125/H125*100</f>
        <v>0.17453292519943295</v>
      </c>
      <c r="N125" s="2">
        <f>L125*K125</f>
        <v>30649.377928422022</v>
      </c>
      <c r="O125" s="2">
        <v>180</v>
      </c>
      <c r="P125" s="2">
        <f>IF(O125="-","-",IF(N125=0,"-",O125/E125))</f>
        <v>0.5</v>
      </c>
      <c r="Q125" s="2">
        <v>0.5</v>
      </c>
      <c r="R125" s="2">
        <v>1810</v>
      </c>
      <c r="S125" s="2">
        <f>R125/E125/H125*100</f>
        <v>2.7932098765432101</v>
      </c>
      <c r="T125" s="2">
        <v>759</v>
      </c>
      <c r="U125" s="2" t="s">
        <v>210</v>
      </c>
      <c r="V125" s="2" t="s">
        <v>210</v>
      </c>
      <c r="W125" s="2">
        <v>0</v>
      </c>
      <c r="X125" s="2">
        <v>0</v>
      </c>
      <c r="Y125" s="2">
        <v>0</v>
      </c>
      <c r="Z125" s="2" t="s">
        <v>210</v>
      </c>
      <c r="AA125" s="2" t="s">
        <v>210</v>
      </c>
      <c r="AB125" s="2">
        <v>5</v>
      </c>
      <c r="AC125" s="2">
        <v>1</v>
      </c>
      <c r="AD125" s="2">
        <v>90</v>
      </c>
      <c r="AE125" s="2">
        <v>222.8</v>
      </c>
    </row>
    <row r="126" spans="1:31" x14ac:dyDescent="0.3">
      <c r="A126" s="2" t="s">
        <v>310</v>
      </c>
      <c r="B126" s="2" t="s">
        <v>95</v>
      </c>
      <c r="C126" s="2" t="s">
        <v>279</v>
      </c>
      <c r="D126" s="2">
        <v>39.700000000000003</v>
      </c>
      <c r="E126" s="2">
        <v>360</v>
      </c>
      <c r="F126" s="2">
        <v>400</v>
      </c>
      <c r="G126" s="2">
        <v>100</v>
      </c>
      <c r="H126" s="2">
        <v>180</v>
      </c>
      <c r="I126" s="2">
        <v>450</v>
      </c>
      <c r="J126" s="2">
        <v>2.5</v>
      </c>
      <c r="K126" s="2">
        <v>542</v>
      </c>
      <c r="L126" s="2">
        <f t="shared" si="45"/>
        <v>56.548667764616276</v>
      </c>
      <c r="M126" s="2">
        <f>L126/O126/H126*100</f>
        <v>0.17453292519943295</v>
      </c>
      <c r="N126" s="2">
        <f>L126*K126</f>
        <v>30649.377928422022</v>
      </c>
      <c r="O126" s="2">
        <v>180</v>
      </c>
      <c r="P126" s="2">
        <f>IF(O126="-","-",IF(N126=0,"-",O126/E126))</f>
        <v>0.5</v>
      </c>
      <c r="Q126" s="2">
        <v>0.5</v>
      </c>
      <c r="R126" s="2">
        <v>1810</v>
      </c>
      <c r="S126" s="2">
        <f>R126/E126/H126*100</f>
        <v>2.7932098765432101</v>
      </c>
      <c r="T126" s="2">
        <v>759</v>
      </c>
      <c r="U126" s="2">
        <v>2741.7</v>
      </c>
      <c r="V126" s="2">
        <v>170.9</v>
      </c>
      <c r="W126" s="2">
        <f t="shared" ref="W126:W132" si="49">AA126*2</f>
        <v>26.599999999999998</v>
      </c>
      <c r="X126" s="2">
        <f>W126/Z126/H126*100/SIN(AD126*PI()/180)</f>
        <v>8.209876543209875E-2</v>
      </c>
      <c r="Y126" s="2">
        <f t="shared" ref="Y126:Y132" si="50">W126*V126*1000</f>
        <v>4545940</v>
      </c>
      <c r="Z126" s="2">
        <v>180</v>
      </c>
      <c r="AA126" s="2">
        <f t="shared" ref="AA126:AA132" si="51">9.5*1.4</f>
        <v>13.299999999999999</v>
      </c>
      <c r="AB126" s="2">
        <f>Z126/E126</f>
        <v>0.5</v>
      </c>
      <c r="AC126" s="2">
        <v>6.8</v>
      </c>
      <c r="AD126" s="2">
        <v>90</v>
      </c>
      <c r="AE126" s="2">
        <v>254.7</v>
      </c>
    </row>
    <row r="127" spans="1:31" x14ac:dyDescent="0.3">
      <c r="A127" s="2" t="s">
        <v>310</v>
      </c>
      <c r="B127" s="2" t="s">
        <v>95</v>
      </c>
      <c r="C127" s="2" t="s">
        <v>278</v>
      </c>
      <c r="D127" s="2">
        <v>39.700000000000003</v>
      </c>
      <c r="E127" s="2">
        <v>360</v>
      </c>
      <c r="F127" s="2">
        <v>400</v>
      </c>
      <c r="G127" s="2">
        <v>100</v>
      </c>
      <c r="H127" s="2">
        <v>180</v>
      </c>
      <c r="I127" s="2">
        <v>450</v>
      </c>
      <c r="J127" s="2">
        <v>2.5</v>
      </c>
      <c r="K127" s="2">
        <v>539</v>
      </c>
      <c r="L127" s="2">
        <f t="shared" si="45"/>
        <v>56.548667764616276</v>
      </c>
      <c r="M127" s="2">
        <f>L127/O127/H127*100</f>
        <v>0.17453292519943295</v>
      </c>
      <c r="N127" s="2">
        <f>L127*K127</f>
        <v>30479.731925128173</v>
      </c>
      <c r="O127" s="2">
        <v>180</v>
      </c>
      <c r="P127" s="2">
        <f>IF(O127="-","-",IF(N127=0,"-",O127/E127))</f>
        <v>0.5</v>
      </c>
      <c r="Q127" s="2">
        <v>0.5</v>
      </c>
      <c r="R127" s="2">
        <v>1810</v>
      </c>
      <c r="S127" s="2">
        <f>R127/E127/H127*100</f>
        <v>2.7932098765432101</v>
      </c>
      <c r="T127" s="2">
        <v>759</v>
      </c>
      <c r="U127" s="2">
        <v>2741.7</v>
      </c>
      <c r="V127" s="2">
        <v>170.9</v>
      </c>
      <c r="W127" s="2">
        <f t="shared" si="49"/>
        <v>26.599999999999998</v>
      </c>
      <c r="X127" s="2">
        <f>W127/Z127/H127*100/SIN(AD127*PI()/180)</f>
        <v>8.209876543209875E-2</v>
      </c>
      <c r="Y127" s="2">
        <f t="shared" si="50"/>
        <v>4545940</v>
      </c>
      <c r="Z127" s="2">
        <v>180</v>
      </c>
      <c r="AA127" s="2">
        <f t="shared" si="51"/>
        <v>13.299999999999999</v>
      </c>
      <c r="AB127" s="2">
        <f>Z127/E127</f>
        <v>0.5</v>
      </c>
      <c r="AC127" s="2">
        <v>6.8</v>
      </c>
      <c r="AD127" s="2">
        <v>90</v>
      </c>
      <c r="AE127" s="2">
        <v>263.5</v>
      </c>
    </row>
    <row r="128" spans="1:31" x14ac:dyDescent="0.3">
      <c r="A128" s="2" t="s">
        <v>310</v>
      </c>
      <c r="B128" s="2" t="s">
        <v>95</v>
      </c>
      <c r="C128" s="2" t="s">
        <v>282</v>
      </c>
      <c r="D128" s="2">
        <v>39.700000000000003</v>
      </c>
      <c r="E128" s="2">
        <v>360</v>
      </c>
      <c r="F128" s="2">
        <v>400</v>
      </c>
      <c r="G128" s="2">
        <v>100</v>
      </c>
      <c r="H128" s="2">
        <v>180</v>
      </c>
      <c r="I128" s="2">
        <v>450</v>
      </c>
      <c r="J128" s="2">
        <v>2.5</v>
      </c>
      <c r="K128" s="2">
        <v>542</v>
      </c>
      <c r="L128" s="2">
        <f t="shared" si="45"/>
        <v>56.548667764616276</v>
      </c>
      <c r="M128" s="2">
        <f>L128/O128/H128*100</f>
        <v>0.17453292519943295</v>
      </c>
      <c r="N128" s="2">
        <f>L128*K128</f>
        <v>30649.377928422022</v>
      </c>
      <c r="O128" s="2">
        <v>180</v>
      </c>
      <c r="P128" s="2">
        <f>IF(O128="-","-",IF(N128=0,"-",O128/E128))</f>
        <v>0.5</v>
      </c>
      <c r="Q128" s="2">
        <f>IF(O128="-",0,O128/E128)</f>
        <v>0.5</v>
      </c>
      <c r="R128" s="2">
        <v>1810</v>
      </c>
      <c r="S128" s="2">
        <f>R128/E128/H128*100</f>
        <v>2.7932098765432101</v>
      </c>
      <c r="T128" s="2">
        <v>759</v>
      </c>
      <c r="U128" s="2">
        <v>2741.7</v>
      </c>
      <c r="V128" s="2">
        <v>170.9</v>
      </c>
      <c r="W128" s="2">
        <f t="shared" si="49"/>
        <v>26.599999999999998</v>
      </c>
      <c r="X128" s="2">
        <f>W128/Z128/H128*100/SIN(AD128*PI()/180)</f>
        <v>0.12962962962962962</v>
      </c>
      <c r="Y128" s="2">
        <f t="shared" si="50"/>
        <v>4545940</v>
      </c>
      <c r="Z128" s="2">
        <v>114</v>
      </c>
      <c r="AA128" s="2">
        <f t="shared" si="51"/>
        <v>13.299999999999999</v>
      </c>
      <c r="AB128" s="2">
        <f>Z128/E128</f>
        <v>0.31666666666666665</v>
      </c>
      <c r="AC128" s="2">
        <v>6.8</v>
      </c>
      <c r="AD128" s="2">
        <v>90</v>
      </c>
      <c r="AE128" s="2">
        <v>256.39999999999998</v>
      </c>
    </row>
    <row r="129" spans="1:31" x14ac:dyDescent="0.3">
      <c r="A129" s="2" t="s">
        <v>310</v>
      </c>
      <c r="B129" s="2" t="s">
        <v>95</v>
      </c>
      <c r="C129" s="2" t="s">
        <v>276</v>
      </c>
      <c r="D129" s="2">
        <v>39.700000000000003</v>
      </c>
      <c r="E129" s="2">
        <v>360</v>
      </c>
      <c r="F129" s="2">
        <v>400</v>
      </c>
      <c r="G129" s="2">
        <v>100</v>
      </c>
      <c r="H129" s="2">
        <v>180</v>
      </c>
      <c r="I129" s="2">
        <v>450</v>
      </c>
      <c r="J129" s="2">
        <v>2.5</v>
      </c>
      <c r="K129" s="2">
        <v>542</v>
      </c>
      <c r="L129" s="2">
        <f t="shared" si="45"/>
        <v>56.548667764616276</v>
      </c>
      <c r="M129" s="2">
        <f>L129/O129/H129*100</f>
        <v>0.17453292519943295</v>
      </c>
      <c r="N129" s="2">
        <f>L129*K129</f>
        <v>30649.377928422022</v>
      </c>
      <c r="O129" s="2">
        <v>180</v>
      </c>
      <c r="P129" s="2">
        <f>IF(O129="-","-",IF(N129=0,"-",O129/E129))</f>
        <v>0.5</v>
      </c>
      <c r="Q129" s="2">
        <v>0.5</v>
      </c>
      <c r="R129" s="2">
        <v>1810</v>
      </c>
      <c r="S129" s="2">
        <f>R129/E129/H129*100</f>
        <v>2.7932098765432101</v>
      </c>
      <c r="T129" s="2">
        <v>759</v>
      </c>
      <c r="U129" s="2">
        <v>2741.7</v>
      </c>
      <c r="V129" s="2">
        <v>170.9</v>
      </c>
      <c r="W129" s="2">
        <f t="shared" si="49"/>
        <v>26.599999999999998</v>
      </c>
      <c r="X129" s="2">
        <f>W129/Z129/H129*100/SIN(AD129*PI()/180)</f>
        <v>7.5996122745705705E-2</v>
      </c>
      <c r="Y129" s="2">
        <f t="shared" si="50"/>
        <v>4545940</v>
      </c>
      <c r="Z129" s="2">
        <v>275</v>
      </c>
      <c r="AA129" s="2">
        <f t="shared" si="51"/>
        <v>13.299999999999999</v>
      </c>
      <c r="AB129" s="2">
        <f>Z129/E129</f>
        <v>0.76388888888888884</v>
      </c>
      <c r="AC129" s="2">
        <v>6.8</v>
      </c>
      <c r="AD129" s="2">
        <v>45</v>
      </c>
      <c r="AE129" s="2">
        <v>265.5</v>
      </c>
    </row>
    <row r="130" spans="1:31" x14ac:dyDescent="0.3">
      <c r="A130" s="2" t="s">
        <v>310</v>
      </c>
      <c r="B130" s="2" t="s">
        <v>95</v>
      </c>
      <c r="C130" s="2" t="s">
        <v>281</v>
      </c>
      <c r="D130" s="2">
        <v>39.700000000000003</v>
      </c>
      <c r="E130" s="2">
        <v>360</v>
      </c>
      <c r="F130" s="2">
        <v>400</v>
      </c>
      <c r="G130" s="2">
        <v>100</v>
      </c>
      <c r="H130" s="2">
        <v>180</v>
      </c>
      <c r="I130" s="2">
        <v>450</v>
      </c>
      <c r="J130" s="2">
        <v>2.5</v>
      </c>
      <c r="K130" s="2">
        <v>542</v>
      </c>
      <c r="L130" s="2">
        <f t="shared" si="45"/>
        <v>56.548667764616276</v>
      </c>
      <c r="M130" s="2">
        <f>L130/O130/H130*100</f>
        <v>0.17453292519943295</v>
      </c>
      <c r="N130" s="2">
        <f>L130*K130</f>
        <v>30649.377928422022</v>
      </c>
      <c r="O130" s="2">
        <v>180</v>
      </c>
      <c r="P130" s="2">
        <f>IF(O130="-","-",IF(N130=0,"-",O130/E130))</f>
        <v>0.5</v>
      </c>
      <c r="Q130" s="2">
        <f>IF(O130="-",0,O130/E130)</f>
        <v>0.5</v>
      </c>
      <c r="R130" s="2">
        <v>1810</v>
      </c>
      <c r="S130" s="2">
        <f>R130/E130/H130*100</f>
        <v>2.7932098765432101</v>
      </c>
      <c r="T130" s="2">
        <v>759</v>
      </c>
      <c r="U130" s="2">
        <v>2741.7</v>
      </c>
      <c r="V130" s="2">
        <v>170.9</v>
      </c>
      <c r="W130" s="2">
        <f t="shared" si="49"/>
        <v>26.599999999999998</v>
      </c>
      <c r="X130" s="2">
        <f>W130/Z130/H130*100/SIN(AD130*PI()/180)</f>
        <v>0.13311422773929346</v>
      </c>
      <c r="Y130" s="2">
        <f t="shared" si="50"/>
        <v>4545940</v>
      </c>
      <c r="Z130" s="2">
        <v>157</v>
      </c>
      <c r="AA130" s="2">
        <f t="shared" si="51"/>
        <v>13.299999999999999</v>
      </c>
      <c r="AB130" s="2">
        <f>Z130/E130</f>
        <v>0.43611111111111112</v>
      </c>
      <c r="AC130" s="2">
        <v>6.8</v>
      </c>
      <c r="AD130" s="2">
        <v>45</v>
      </c>
      <c r="AE130" s="2">
        <v>286.89999999999998</v>
      </c>
    </row>
    <row r="131" spans="1:31" x14ac:dyDescent="0.3">
      <c r="A131" s="2" t="s">
        <v>310</v>
      </c>
      <c r="B131" s="2" t="s">
        <v>95</v>
      </c>
      <c r="C131" s="2" t="s">
        <v>277</v>
      </c>
      <c r="D131" s="2">
        <v>39.700000000000003</v>
      </c>
      <c r="E131" s="2">
        <v>360</v>
      </c>
      <c r="F131" s="2">
        <v>400</v>
      </c>
      <c r="G131" s="2">
        <v>100</v>
      </c>
      <c r="H131" s="2">
        <v>180</v>
      </c>
      <c r="I131" s="2">
        <v>450</v>
      </c>
      <c r="J131" s="2">
        <v>2.5</v>
      </c>
      <c r="K131" s="2">
        <v>542</v>
      </c>
      <c r="L131" s="2">
        <f t="shared" si="45"/>
        <v>56.548667764616276</v>
      </c>
      <c r="M131" s="2">
        <f>L131/O131/H131*100</f>
        <v>0.17453292519943295</v>
      </c>
      <c r="N131" s="2">
        <f>L131*K131</f>
        <v>30649.377928422022</v>
      </c>
      <c r="O131" s="2">
        <v>180</v>
      </c>
      <c r="P131" s="2">
        <f>IF(O131="-","-",IF(N131=0,"-",O131/E131))</f>
        <v>0.5</v>
      </c>
      <c r="Q131" s="2">
        <f>IF(O131="-",0,O131/E131)</f>
        <v>0.5</v>
      </c>
      <c r="R131" s="2">
        <v>1810</v>
      </c>
      <c r="S131" s="2">
        <f>R131/E131/H131*100</f>
        <v>2.7932098765432101</v>
      </c>
      <c r="T131" s="2">
        <v>759</v>
      </c>
      <c r="U131" s="2">
        <v>2741.7</v>
      </c>
      <c r="V131" s="2">
        <v>170.9</v>
      </c>
      <c r="W131" s="2">
        <f t="shared" si="49"/>
        <v>26.599999999999998</v>
      </c>
      <c r="X131" s="2">
        <f>W131/Z131/H131*100/SIN(AD131*PI()/180)</f>
        <v>7.0221843440530604E-2</v>
      </c>
      <c r="Y131" s="2">
        <f t="shared" si="50"/>
        <v>4545940</v>
      </c>
      <c r="Z131" s="2">
        <v>243</v>
      </c>
      <c r="AA131" s="2">
        <f t="shared" si="51"/>
        <v>13.299999999999999</v>
      </c>
      <c r="AB131" s="2">
        <f>Z131/E131</f>
        <v>0.67500000000000004</v>
      </c>
      <c r="AC131" s="2">
        <v>6.8</v>
      </c>
      <c r="AD131" s="2">
        <v>60</v>
      </c>
      <c r="AE131" s="2">
        <v>266.3</v>
      </c>
    </row>
    <row r="132" spans="1:31" x14ac:dyDescent="0.3">
      <c r="A132" s="2" t="s">
        <v>310</v>
      </c>
      <c r="B132" s="2" t="s">
        <v>95</v>
      </c>
      <c r="C132" s="2" t="s">
        <v>280</v>
      </c>
      <c r="D132" s="2">
        <v>39.700000000000003</v>
      </c>
      <c r="E132" s="2">
        <v>360</v>
      </c>
      <c r="F132" s="2">
        <v>400</v>
      </c>
      <c r="G132" s="2">
        <v>100</v>
      </c>
      <c r="H132" s="2">
        <v>180</v>
      </c>
      <c r="I132" s="2">
        <v>450</v>
      </c>
      <c r="J132" s="2">
        <v>2.5</v>
      </c>
      <c r="K132" s="2">
        <v>542</v>
      </c>
      <c r="L132" s="2">
        <f t="shared" si="45"/>
        <v>56.548667764616276</v>
      </c>
      <c r="M132" s="2">
        <f>L132/O132/H132*100</f>
        <v>0.17453292519943295</v>
      </c>
      <c r="N132" s="2">
        <f>L132*K132</f>
        <v>30649.377928422022</v>
      </c>
      <c r="O132" s="2">
        <v>180</v>
      </c>
      <c r="P132" s="2">
        <f>IF(O132="-","-",IF(N132=0,"-",O132/E132))</f>
        <v>0.5</v>
      </c>
      <c r="Q132" s="2">
        <f>IF(O132="-",0,O132/E132)</f>
        <v>0.5</v>
      </c>
      <c r="R132" s="2">
        <v>1810</v>
      </c>
      <c r="S132" s="2">
        <f>R132/E132/H132*100</f>
        <v>2.7932098765432101</v>
      </c>
      <c r="T132" s="2">
        <v>759</v>
      </c>
      <c r="U132" s="2">
        <v>2741.7</v>
      </c>
      <c r="V132" s="2">
        <v>170.9</v>
      </c>
      <c r="W132" s="2">
        <f t="shared" si="49"/>
        <v>26.599999999999998</v>
      </c>
      <c r="X132" s="2">
        <f>W132/Z132/H132*100/SIN(AD132*PI()/180)</f>
        <v>0.10533276516079593</v>
      </c>
      <c r="Y132" s="2">
        <f t="shared" si="50"/>
        <v>4545940</v>
      </c>
      <c r="Z132" s="2">
        <v>162</v>
      </c>
      <c r="AA132" s="2">
        <f t="shared" si="51"/>
        <v>13.299999999999999</v>
      </c>
      <c r="AB132" s="2">
        <f>Z132/E132</f>
        <v>0.45</v>
      </c>
      <c r="AC132" s="2">
        <v>6.8</v>
      </c>
      <c r="AD132" s="2">
        <v>60</v>
      </c>
      <c r="AE132" s="2">
        <v>274.7</v>
      </c>
    </row>
    <row r="133" spans="1:31" x14ac:dyDescent="0.3">
      <c r="A133" s="2" t="s">
        <v>285</v>
      </c>
      <c r="B133" s="2" t="s">
        <v>95</v>
      </c>
      <c r="C133" s="2" t="s">
        <v>97</v>
      </c>
      <c r="D133" s="2">
        <v>59.4</v>
      </c>
      <c r="E133" s="2">
        <v>360</v>
      </c>
      <c r="F133" s="2">
        <v>400</v>
      </c>
      <c r="G133" s="2">
        <v>100</v>
      </c>
      <c r="H133" s="2">
        <v>180</v>
      </c>
      <c r="I133" s="2">
        <v>450</v>
      </c>
      <c r="J133" s="2">
        <v>3.33</v>
      </c>
      <c r="K133" s="2" t="s">
        <v>210</v>
      </c>
      <c r="L133" s="2" t="s">
        <v>210</v>
      </c>
      <c r="M133" s="2" t="s">
        <v>210</v>
      </c>
      <c r="N133" s="2">
        <v>0</v>
      </c>
      <c r="O133" s="2" t="s">
        <v>210</v>
      </c>
      <c r="P133" s="2" t="s">
        <v>210</v>
      </c>
      <c r="Q133" s="2">
        <v>5</v>
      </c>
      <c r="R133" s="2">
        <v>2011</v>
      </c>
      <c r="S133" s="2">
        <f>R133/E133/H133*100</f>
        <v>3.1033950617283952</v>
      </c>
      <c r="T133" s="2">
        <v>716</v>
      </c>
      <c r="U133" s="2" t="s">
        <v>210</v>
      </c>
      <c r="V133" s="2" t="s">
        <v>210</v>
      </c>
      <c r="W133" s="2">
        <v>0</v>
      </c>
      <c r="X133" s="2">
        <v>0</v>
      </c>
      <c r="Y133" s="2">
        <v>0</v>
      </c>
      <c r="Z133" s="2" t="s">
        <v>210</v>
      </c>
      <c r="AA133" s="2" t="s">
        <v>210</v>
      </c>
      <c r="AB133" s="2">
        <v>5</v>
      </c>
      <c r="AC133" s="2">
        <v>1</v>
      </c>
      <c r="AD133" s="2">
        <v>90</v>
      </c>
      <c r="AE133" s="2">
        <v>127.9</v>
      </c>
    </row>
    <row r="134" spans="1:31" x14ac:dyDescent="0.3">
      <c r="A134" s="2" t="s">
        <v>312</v>
      </c>
      <c r="B134" s="2" t="s">
        <v>95</v>
      </c>
      <c r="C134" s="2" t="s">
        <v>26</v>
      </c>
      <c r="D134" s="2">
        <v>59.4</v>
      </c>
      <c r="E134" s="2">
        <v>360</v>
      </c>
      <c r="F134" s="2">
        <v>400</v>
      </c>
      <c r="G134" s="2">
        <v>100</v>
      </c>
      <c r="H134" s="2">
        <v>180</v>
      </c>
      <c r="I134" s="2">
        <v>450</v>
      </c>
      <c r="J134" s="2">
        <v>3.3</v>
      </c>
      <c r="K134" s="2">
        <v>551</v>
      </c>
      <c r="L134" s="2">
        <f t="shared" ref="L134:L154" si="52">2*PI()*6^2/4</f>
        <v>56.548667764616276</v>
      </c>
      <c r="M134" s="2">
        <f>L134/O134/H134*100</f>
        <v>0.10471975511965977</v>
      </c>
      <c r="N134" s="2">
        <f>L134*K134</f>
        <v>31158.315938303567</v>
      </c>
      <c r="O134" s="2">
        <v>300</v>
      </c>
      <c r="P134" s="2">
        <f>IF(O134="-","-",IF(N134=0,"-",O134/E134))</f>
        <v>0.83333333333333337</v>
      </c>
      <c r="Q134" s="2">
        <f>IF(O134="-",0,O134/E134)</f>
        <v>0.83333333333333337</v>
      </c>
      <c r="R134" s="2">
        <v>2011</v>
      </c>
      <c r="S134" s="2">
        <f>R134/E134/H134*100</f>
        <v>3.1033950617283952</v>
      </c>
      <c r="T134" s="2">
        <v>716</v>
      </c>
      <c r="U134" s="2" t="s">
        <v>210</v>
      </c>
      <c r="V134" s="2" t="s">
        <v>210</v>
      </c>
      <c r="W134" s="2">
        <v>0</v>
      </c>
      <c r="X134" s="2">
        <v>0</v>
      </c>
      <c r="Y134" s="2">
        <v>0</v>
      </c>
      <c r="Z134" s="2" t="s">
        <v>210</v>
      </c>
      <c r="AA134" s="2" t="s">
        <v>210</v>
      </c>
      <c r="AB134" s="2">
        <v>5</v>
      </c>
      <c r="AC134" s="2">
        <v>1</v>
      </c>
      <c r="AD134" s="2">
        <v>90</v>
      </c>
      <c r="AE134" s="2">
        <v>179.95</v>
      </c>
    </row>
    <row r="135" spans="1:31" x14ac:dyDescent="0.3">
      <c r="A135" s="2" t="s">
        <v>312</v>
      </c>
      <c r="B135" s="2" t="s">
        <v>95</v>
      </c>
      <c r="C135" s="2" t="s">
        <v>106</v>
      </c>
      <c r="D135" s="2">
        <v>59.4</v>
      </c>
      <c r="E135" s="2">
        <v>360</v>
      </c>
      <c r="F135" s="2">
        <v>400</v>
      </c>
      <c r="G135" s="2">
        <v>100</v>
      </c>
      <c r="H135" s="2">
        <v>180</v>
      </c>
      <c r="I135" s="2">
        <v>450</v>
      </c>
      <c r="J135" s="2">
        <v>3.3</v>
      </c>
      <c r="K135" s="2">
        <v>542</v>
      </c>
      <c r="L135" s="2">
        <f t="shared" si="52"/>
        <v>56.548667764616276</v>
      </c>
      <c r="M135" s="2">
        <f>L135/O135/H135*100</f>
        <v>0.10471975511965977</v>
      </c>
      <c r="N135" s="2">
        <f>L135*K135</f>
        <v>30649.377928422022</v>
      </c>
      <c r="O135" s="2">
        <v>300</v>
      </c>
      <c r="P135" s="2">
        <f>IF(O135="-","-",IF(N135=0,"-",O135/E135))</f>
        <v>0.83333333333333337</v>
      </c>
      <c r="Q135" s="2">
        <f>IF(O135="-",0,O135/E135)</f>
        <v>0.83333333333333337</v>
      </c>
      <c r="R135" s="2">
        <v>2011</v>
      </c>
      <c r="S135" s="2">
        <f>R135/E135/H135*100</f>
        <v>3.1033950617283952</v>
      </c>
      <c r="T135" s="2">
        <v>716</v>
      </c>
      <c r="U135" s="2">
        <v>2848</v>
      </c>
      <c r="V135" s="2">
        <v>174.3</v>
      </c>
      <c r="W135" s="2">
        <f>Z135*SIN(AD135*PI()/180)*X135*H135/100</f>
        <v>25.92</v>
      </c>
      <c r="X135" s="2">
        <v>0.08</v>
      </c>
      <c r="Y135" s="2">
        <f t="shared" ref="Y135:Y142" si="53">W135*V135*1000</f>
        <v>4517856.0000000009</v>
      </c>
      <c r="Z135" s="2">
        <v>180</v>
      </c>
      <c r="AA135" s="2">
        <f t="shared" ref="AA135:AA142" si="54">9.5*1.4</f>
        <v>13.299999999999999</v>
      </c>
      <c r="AB135" s="2">
        <v>0.5</v>
      </c>
      <c r="AC135" s="2">
        <v>6.8</v>
      </c>
      <c r="AD135" s="2">
        <v>90</v>
      </c>
      <c r="AE135" s="2">
        <v>193.5</v>
      </c>
    </row>
    <row r="136" spans="1:31" x14ac:dyDescent="0.3">
      <c r="A136" s="2" t="s">
        <v>312</v>
      </c>
      <c r="B136" s="2" t="s">
        <v>95</v>
      </c>
      <c r="C136" s="2" t="s">
        <v>107</v>
      </c>
      <c r="D136" s="2">
        <v>59.4</v>
      </c>
      <c r="E136" s="2">
        <v>360</v>
      </c>
      <c r="F136" s="2">
        <v>400</v>
      </c>
      <c r="G136" s="2">
        <v>100</v>
      </c>
      <c r="H136" s="2">
        <v>180</v>
      </c>
      <c r="I136" s="2">
        <v>450</v>
      </c>
      <c r="J136" s="2">
        <v>3.3</v>
      </c>
      <c r="K136" s="2">
        <v>542</v>
      </c>
      <c r="L136" s="2">
        <f t="shared" si="52"/>
        <v>56.548667764616276</v>
      </c>
      <c r="M136" s="2">
        <f>L136/O136/H136*100</f>
        <v>0.10471975511965977</v>
      </c>
      <c r="N136" s="2">
        <f>L136*K136</f>
        <v>30649.377928422022</v>
      </c>
      <c r="O136" s="2">
        <v>300</v>
      </c>
      <c r="P136" s="2">
        <f>IF(O136="-","-",IF(N136=0,"-",O136/E136))</f>
        <v>0.83333333333333337</v>
      </c>
      <c r="Q136" s="2">
        <f>IF(O136="-",0,O136/E136)</f>
        <v>0.83333333333333337</v>
      </c>
      <c r="R136" s="2">
        <v>2011</v>
      </c>
      <c r="S136" s="2">
        <f>R136/E136/H136*100</f>
        <v>3.1033950617283952</v>
      </c>
      <c r="T136" s="2">
        <v>716</v>
      </c>
      <c r="U136" s="2">
        <v>2848</v>
      </c>
      <c r="V136" s="2">
        <v>174.3</v>
      </c>
      <c r="W136" s="2">
        <f>Z136*SIN(AD136*PI()/180)*X136*H136/100</f>
        <v>26.675999999999998</v>
      </c>
      <c r="X136" s="2">
        <v>0.13</v>
      </c>
      <c r="Y136" s="2">
        <f t="shared" si="53"/>
        <v>4649626.8</v>
      </c>
      <c r="Z136" s="2">
        <v>114</v>
      </c>
      <c r="AA136" s="2">
        <f t="shared" si="54"/>
        <v>13.299999999999999</v>
      </c>
      <c r="AB136" s="2">
        <v>0.32</v>
      </c>
      <c r="AC136" s="2">
        <v>6.8</v>
      </c>
      <c r="AD136" s="2">
        <v>90</v>
      </c>
      <c r="AE136" s="2">
        <v>245.85</v>
      </c>
    </row>
    <row r="137" spans="1:31" x14ac:dyDescent="0.3">
      <c r="A137" s="2" t="s">
        <v>312</v>
      </c>
      <c r="B137" s="2" t="s">
        <v>95</v>
      </c>
      <c r="C137" s="2" t="s">
        <v>108</v>
      </c>
      <c r="D137" s="2">
        <v>59.4</v>
      </c>
      <c r="E137" s="2">
        <v>360</v>
      </c>
      <c r="F137" s="2">
        <v>400</v>
      </c>
      <c r="G137" s="2">
        <v>100</v>
      </c>
      <c r="H137" s="2">
        <v>180</v>
      </c>
      <c r="I137" s="2">
        <v>450</v>
      </c>
      <c r="J137" s="2">
        <v>3.3</v>
      </c>
      <c r="K137" s="2">
        <v>539</v>
      </c>
      <c r="L137" s="2">
        <f t="shared" si="52"/>
        <v>56.548667764616276</v>
      </c>
      <c r="M137" s="2">
        <f>L137/O137/H137*100</f>
        <v>0.10471975511965977</v>
      </c>
      <c r="N137" s="2">
        <f>L137*K137</f>
        <v>30479.731925128173</v>
      </c>
      <c r="O137" s="2">
        <v>300</v>
      </c>
      <c r="P137" s="2">
        <f>IF(O137="-","-",IF(N137=0,"-",O137/E137))</f>
        <v>0.83333333333333337</v>
      </c>
      <c r="Q137" s="2">
        <f>IF(O137="-",0,O137/E137)</f>
        <v>0.83333333333333337</v>
      </c>
      <c r="R137" s="2">
        <v>2011</v>
      </c>
      <c r="S137" s="2">
        <f>R137/E137/H137*100</f>
        <v>3.1033950617283952</v>
      </c>
      <c r="T137" s="2">
        <v>716</v>
      </c>
      <c r="U137" s="2">
        <v>2848</v>
      </c>
      <c r="V137" s="2">
        <v>174.3</v>
      </c>
      <c r="W137" s="2">
        <f>Z137*SIN(AD137*PI()/180)*X137*H137/100</f>
        <v>28.00142853498728</v>
      </c>
      <c r="X137" s="2">
        <v>0.08</v>
      </c>
      <c r="Y137" s="2">
        <f t="shared" si="53"/>
        <v>4880648.9936482832</v>
      </c>
      <c r="Z137" s="2">
        <v>275</v>
      </c>
      <c r="AA137" s="2">
        <f t="shared" si="54"/>
        <v>13.299999999999999</v>
      </c>
      <c r="AB137" s="2">
        <v>0.76</v>
      </c>
      <c r="AC137" s="2">
        <v>6.8</v>
      </c>
      <c r="AD137" s="2">
        <v>45</v>
      </c>
      <c r="AE137" s="2">
        <v>246.05</v>
      </c>
    </row>
    <row r="138" spans="1:31" x14ac:dyDescent="0.3">
      <c r="A138" s="2" t="s">
        <v>312</v>
      </c>
      <c r="B138" s="2" t="s">
        <v>95</v>
      </c>
      <c r="C138" s="2" t="s">
        <v>109</v>
      </c>
      <c r="D138" s="2">
        <v>59.4</v>
      </c>
      <c r="E138" s="2">
        <v>360</v>
      </c>
      <c r="F138" s="2">
        <v>400</v>
      </c>
      <c r="G138" s="2">
        <v>100</v>
      </c>
      <c r="H138" s="2">
        <v>180</v>
      </c>
      <c r="I138" s="2">
        <v>450</v>
      </c>
      <c r="J138" s="2">
        <v>3.3</v>
      </c>
      <c r="K138" s="2">
        <v>542</v>
      </c>
      <c r="L138" s="2">
        <f t="shared" si="52"/>
        <v>56.548667764616276</v>
      </c>
      <c r="M138" s="2">
        <f>L138/O138/H138*100</f>
        <v>0.10471975511965977</v>
      </c>
      <c r="N138" s="2">
        <f>L138*K138</f>
        <v>30649.377928422022</v>
      </c>
      <c r="O138" s="2">
        <v>300</v>
      </c>
      <c r="P138" s="2">
        <f>IF(O138="-","-",IF(N138=0,"-",O138/E138))</f>
        <v>0.83333333333333337</v>
      </c>
      <c r="Q138" s="2">
        <f>IF(O138="-",0,O138/E138)</f>
        <v>0.83333333333333337</v>
      </c>
      <c r="R138" s="2">
        <v>2011</v>
      </c>
      <c r="S138" s="2">
        <f>R138/E138/H138*100</f>
        <v>3.1033950617283952</v>
      </c>
      <c r="T138" s="2">
        <v>716</v>
      </c>
      <c r="U138" s="2">
        <v>2848</v>
      </c>
      <c r="V138" s="2">
        <v>174.3</v>
      </c>
      <c r="W138" s="2">
        <f>Z138*SIN(AD138*PI()/180)*X138*H138/100</f>
        <v>28.00142853498728</v>
      </c>
      <c r="X138" s="2">
        <v>0.08</v>
      </c>
      <c r="Y138" s="2">
        <f t="shared" si="53"/>
        <v>4880648.9936482832</v>
      </c>
      <c r="Z138" s="2">
        <v>275</v>
      </c>
      <c r="AA138" s="2">
        <f t="shared" si="54"/>
        <v>13.299999999999999</v>
      </c>
      <c r="AB138" s="2">
        <v>0.76</v>
      </c>
      <c r="AC138" s="2">
        <v>6.8</v>
      </c>
      <c r="AD138" s="2">
        <v>45</v>
      </c>
      <c r="AE138" s="2">
        <v>265.7</v>
      </c>
    </row>
    <row r="139" spans="1:31" x14ac:dyDescent="0.3">
      <c r="A139" s="2" t="s">
        <v>312</v>
      </c>
      <c r="B139" s="2" t="s">
        <v>95</v>
      </c>
      <c r="C139" s="2" t="s">
        <v>110</v>
      </c>
      <c r="D139" s="2">
        <v>59.4</v>
      </c>
      <c r="E139" s="2">
        <v>360</v>
      </c>
      <c r="F139" s="2">
        <v>400</v>
      </c>
      <c r="G139" s="2">
        <v>100</v>
      </c>
      <c r="H139" s="2">
        <v>180</v>
      </c>
      <c r="I139" s="2">
        <v>450</v>
      </c>
      <c r="J139" s="2">
        <v>3.3</v>
      </c>
      <c r="K139" s="2">
        <v>539</v>
      </c>
      <c r="L139" s="2">
        <f t="shared" si="52"/>
        <v>56.548667764616276</v>
      </c>
      <c r="M139" s="2">
        <f>L139/O139/H139*100</f>
        <v>0.10471975511965977</v>
      </c>
      <c r="N139" s="2">
        <f>L139*K139</f>
        <v>30479.731925128173</v>
      </c>
      <c r="O139" s="2">
        <v>300</v>
      </c>
      <c r="P139" s="2">
        <f>IF(O139="-","-",IF(N139=0,"-",O139/E139))</f>
        <v>0.83333333333333337</v>
      </c>
      <c r="Q139" s="2">
        <f>IF(O139="-",0,O139/E139)</f>
        <v>0.83333333333333337</v>
      </c>
      <c r="R139" s="2">
        <v>2011</v>
      </c>
      <c r="S139" s="2">
        <f>R139/E139/H139*100</f>
        <v>3.1033950617283952</v>
      </c>
      <c r="T139" s="2">
        <v>716</v>
      </c>
      <c r="U139" s="2">
        <v>2848</v>
      </c>
      <c r="V139" s="2">
        <v>174.3</v>
      </c>
      <c r="W139" s="2">
        <f>Z139*SIN(AD139*PI()/180)*X139*H139/100</f>
        <v>28.00142853498728</v>
      </c>
      <c r="X139" s="2">
        <v>0.08</v>
      </c>
      <c r="Y139" s="2">
        <f t="shared" si="53"/>
        <v>4880648.9936482832</v>
      </c>
      <c r="Z139" s="2">
        <v>275</v>
      </c>
      <c r="AA139" s="2">
        <f t="shared" si="54"/>
        <v>13.299999999999999</v>
      </c>
      <c r="AB139" s="2">
        <v>0.76</v>
      </c>
      <c r="AC139" s="2">
        <v>6.8</v>
      </c>
      <c r="AD139" s="2">
        <v>45</v>
      </c>
      <c r="AE139" s="2">
        <v>245.3</v>
      </c>
    </row>
    <row r="140" spans="1:31" x14ac:dyDescent="0.3">
      <c r="A140" s="2" t="s">
        <v>312</v>
      </c>
      <c r="B140" s="2" t="s">
        <v>95</v>
      </c>
      <c r="C140" s="2" t="s">
        <v>111</v>
      </c>
      <c r="D140" s="2">
        <v>59.4</v>
      </c>
      <c r="E140" s="2">
        <v>360</v>
      </c>
      <c r="F140" s="2">
        <v>400</v>
      </c>
      <c r="G140" s="2">
        <v>100</v>
      </c>
      <c r="H140" s="2">
        <v>180</v>
      </c>
      <c r="I140" s="2">
        <v>450</v>
      </c>
      <c r="J140" s="2">
        <v>3.3</v>
      </c>
      <c r="K140" s="2">
        <v>539</v>
      </c>
      <c r="L140" s="2">
        <f t="shared" si="52"/>
        <v>56.548667764616276</v>
      </c>
      <c r="M140" s="2">
        <f>L140/O140/H140*100</f>
        <v>0.10471975511965977</v>
      </c>
      <c r="N140" s="2">
        <f>L140*K140</f>
        <v>30479.731925128173</v>
      </c>
      <c r="O140" s="2">
        <v>300</v>
      </c>
      <c r="P140" s="2">
        <f>IF(O140="-","-",IF(N140=0,"-",O140/E140))</f>
        <v>0.83333333333333337</v>
      </c>
      <c r="Q140" s="2">
        <f>IF(O140="-",0,O140/E140)</f>
        <v>0.83333333333333337</v>
      </c>
      <c r="R140" s="2">
        <v>2011</v>
      </c>
      <c r="S140" s="2">
        <f>R140/E140/H140*100</f>
        <v>3.1033950617283952</v>
      </c>
      <c r="T140" s="2">
        <v>716</v>
      </c>
      <c r="U140" s="2">
        <v>2848</v>
      </c>
      <c r="V140" s="2">
        <v>174.3</v>
      </c>
      <c r="W140" s="2">
        <f>Z140*SIN(AD140*PI()/180)*X140*H140/100</f>
        <v>25.97768892723138</v>
      </c>
      <c r="X140" s="2">
        <v>0.13</v>
      </c>
      <c r="Y140" s="2">
        <f t="shared" si="53"/>
        <v>4527911.1800164301</v>
      </c>
      <c r="Z140" s="2">
        <v>157</v>
      </c>
      <c r="AA140" s="2">
        <f t="shared" si="54"/>
        <v>13.299999999999999</v>
      </c>
      <c r="AB140" s="2">
        <v>0.44</v>
      </c>
      <c r="AC140" s="2">
        <v>6.8</v>
      </c>
      <c r="AD140" s="2">
        <v>45</v>
      </c>
      <c r="AE140" s="2">
        <v>281.8</v>
      </c>
    </row>
    <row r="141" spans="1:31" x14ac:dyDescent="0.3">
      <c r="A141" s="2" t="s">
        <v>312</v>
      </c>
      <c r="B141" s="2" t="s">
        <v>95</v>
      </c>
      <c r="C141" s="2" t="s">
        <v>112</v>
      </c>
      <c r="D141" s="2">
        <v>59.4</v>
      </c>
      <c r="E141" s="2">
        <v>360</v>
      </c>
      <c r="F141" s="2">
        <v>400</v>
      </c>
      <c r="G141" s="2">
        <v>100</v>
      </c>
      <c r="H141" s="2">
        <v>180</v>
      </c>
      <c r="I141" s="2">
        <v>450</v>
      </c>
      <c r="J141" s="2">
        <v>3.3</v>
      </c>
      <c r="K141" s="2">
        <v>539</v>
      </c>
      <c r="L141" s="2">
        <f t="shared" si="52"/>
        <v>56.548667764616276</v>
      </c>
      <c r="M141" s="2">
        <f>L141/O141/H141*100</f>
        <v>0.10471975511965977</v>
      </c>
      <c r="N141" s="2">
        <f>L141*K141</f>
        <v>30479.731925128173</v>
      </c>
      <c r="O141" s="2">
        <v>300</v>
      </c>
      <c r="P141" s="2">
        <f>IF(O141="-","-",IF(N141=0,"-",O141/E141))</f>
        <v>0.83333333333333337</v>
      </c>
      <c r="Q141" s="2">
        <f>IF(O141="-",0,O141/E141)</f>
        <v>0.83333333333333337</v>
      </c>
      <c r="R141" s="2">
        <v>2011</v>
      </c>
      <c r="S141" s="2">
        <f>R141/E141/H141*100</f>
        <v>3.1033950617283952</v>
      </c>
      <c r="T141" s="2">
        <v>716</v>
      </c>
      <c r="U141" s="2">
        <v>2848</v>
      </c>
      <c r="V141" s="2">
        <v>174.3</v>
      </c>
      <c r="W141" s="2">
        <f>Z141*SIN(AD141*PI()/180)*X141*H141/100</f>
        <v>26.515965813071944</v>
      </c>
      <c r="X141" s="2">
        <v>7.0000000000000007E-2</v>
      </c>
      <c r="Y141" s="2">
        <f t="shared" si="53"/>
        <v>4621732.8412184399</v>
      </c>
      <c r="Z141" s="2">
        <v>243</v>
      </c>
      <c r="AA141" s="2">
        <f t="shared" si="54"/>
        <v>13.299999999999999</v>
      </c>
      <c r="AB141" s="2">
        <v>0.68</v>
      </c>
      <c r="AC141" s="2">
        <v>6.8</v>
      </c>
      <c r="AD141" s="2">
        <v>60</v>
      </c>
      <c r="AE141" s="2">
        <v>248.95</v>
      </c>
    </row>
    <row r="142" spans="1:31" x14ac:dyDescent="0.3">
      <c r="A142" s="2" t="s">
        <v>312</v>
      </c>
      <c r="B142" s="2" t="s">
        <v>95</v>
      </c>
      <c r="C142" s="2" t="s">
        <v>113</v>
      </c>
      <c r="D142" s="2">
        <v>59.4</v>
      </c>
      <c r="E142" s="2">
        <v>360</v>
      </c>
      <c r="F142" s="2">
        <v>400</v>
      </c>
      <c r="G142" s="2">
        <v>100</v>
      </c>
      <c r="H142" s="2">
        <v>180</v>
      </c>
      <c r="I142" s="2">
        <v>450</v>
      </c>
      <c r="J142" s="2">
        <v>3.3</v>
      </c>
      <c r="K142" s="2">
        <v>542</v>
      </c>
      <c r="L142" s="2">
        <f t="shared" si="52"/>
        <v>56.548667764616276</v>
      </c>
      <c r="M142" s="2">
        <f>L142/O142/H142*100</f>
        <v>0.10471975511965977</v>
      </c>
      <c r="N142" s="2">
        <f>L142*K142</f>
        <v>30649.377928422022</v>
      </c>
      <c r="O142" s="2">
        <v>300</v>
      </c>
      <c r="P142" s="2">
        <f>IF(O142="-","-",IF(N142=0,"-",O142/E142))</f>
        <v>0.83333333333333337</v>
      </c>
      <c r="Q142" s="2">
        <f>IF(O142="-",0,O142/E142)</f>
        <v>0.83333333333333337</v>
      </c>
      <c r="R142" s="2">
        <v>2011</v>
      </c>
      <c r="S142" s="2">
        <f>R142/E142/H142*100</f>
        <v>3.1033950617283952</v>
      </c>
      <c r="T142" s="2">
        <v>716</v>
      </c>
      <c r="U142" s="2">
        <v>2848</v>
      </c>
      <c r="V142" s="2">
        <v>174.3</v>
      </c>
      <c r="W142" s="2">
        <f>Z142*SIN(AD142*PI()/180)*X142*H142/100</f>
        <v>27.778630851789654</v>
      </c>
      <c r="X142" s="2">
        <v>0.11</v>
      </c>
      <c r="Y142" s="2">
        <f t="shared" si="53"/>
        <v>4841815.357466937</v>
      </c>
      <c r="Z142" s="2">
        <v>162</v>
      </c>
      <c r="AA142" s="2">
        <f t="shared" si="54"/>
        <v>13.299999999999999</v>
      </c>
      <c r="AB142" s="2">
        <v>0.45</v>
      </c>
      <c r="AC142" s="2">
        <v>6.8</v>
      </c>
      <c r="AD142" s="2">
        <v>60</v>
      </c>
      <c r="AE142" s="2">
        <v>292.25</v>
      </c>
    </row>
    <row r="143" spans="1:31" x14ac:dyDescent="0.3">
      <c r="A143" s="2" t="s">
        <v>312</v>
      </c>
      <c r="B143" s="2" t="s">
        <v>95</v>
      </c>
      <c r="C143" s="2" t="s">
        <v>284</v>
      </c>
      <c r="D143" s="2">
        <v>59.4</v>
      </c>
      <c r="E143" s="2">
        <v>360</v>
      </c>
      <c r="F143" s="2">
        <v>400</v>
      </c>
      <c r="G143" s="2">
        <v>100</v>
      </c>
      <c r="H143" s="2">
        <v>180</v>
      </c>
      <c r="I143" s="2">
        <v>450</v>
      </c>
      <c r="J143" s="2">
        <v>3.3</v>
      </c>
      <c r="K143" s="2">
        <v>551</v>
      </c>
      <c r="L143" s="2">
        <f t="shared" si="52"/>
        <v>56.548667764616276</v>
      </c>
      <c r="M143" s="2">
        <f>L143/O143/H143*100</f>
        <v>0.15707963267948966</v>
      </c>
      <c r="N143" s="2">
        <f>L143*K143</f>
        <v>31158.315938303567</v>
      </c>
      <c r="O143" s="2">
        <v>200</v>
      </c>
      <c r="P143" s="2">
        <f>IF(O143="-","-",IF(N143=0,"-",O143/E143))</f>
        <v>0.55555555555555558</v>
      </c>
      <c r="Q143" s="2">
        <f>IF(O143="-",0,O143/E143)</f>
        <v>0.55555555555555558</v>
      </c>
      <c r="R143" s="2">
        <v>2011</v>
      </c>
      <c r="S143" s="2">
        <f>R143/E143/H143*100</f>
        <v>3.1033950617283952</v>
      </c>
      <c r="T143" s="2">
        <v>716</v>
      </c>
      <c r="U143" s="2" t="s">
        <v>210</v>
      </c>
      <c r="V143" s="2" t="s">
        <v>210</v>
      </c>
      <c r="W143" s="2">
        <v>0</v>
      </c>
      <c r="X143" s="2">
        <v>0</v>
      </c>
      <c r="Y143" s="2">
        <v>0</v>
      </c>
      <c r="Z143" s="2" t="s">
        <v>210</v>
      </c>
      <c r="AA143" s="2" t="s">
        <v>210</v>
      </c>
      <c r="AB143" s="2">
        <v>5</v>
      </c>
      <c r="AC143" s="2">
        <v>1</v>
      </c>
      <c r="AD143" s="2">
        <v>90</v>
      </c>
      <c r="AE143" s="2">
        <v>204.85</v>
      </c>
    </row>
    <row r="144" spans="1:31" x14ac:dyDescent="0.3">
      <c r="A144" s="2" t="s">
        <v>312</v>
      </c>
      <c r="B144" s="2" t="s">
        <v>95</v>
      </c>
      <c r="C144" s="2" t="s">
        <v>114</v>
      </c>
      <c r="D144" s="2">
        <v>59.4</v>
      </c>
      <c r="E144" s="2">
        <v>360</v>
      </c>
      <c r="F144" s="2">
        <v>400</v>
      </c>
      <c r="G144" s="2">
        <v>100</v>
      </c>
      <c r="H144" s="2">
        <v>180</v>
      </c>
      <c r="I144" s="2">
        <v>450</v>
      </c>
      <c r="J144" s="2">
        <v>3.3</v>
      </c>
      <c r="K144" s="2">
        <v>542</v>
      </c>
      <c r="L144" s="2">
        <f t="shared" si="52"/>
        <v>56.548667764616276</v>
      </c>
      <c r="M144" s="2">
        <f>L144/O144/H144*100</f>
        <v>0.15707963267948966</v>
      </c>
      <c r="N144" s="2">
        <f>L144*K144</f>
        <v>30649.377928422022</v>
      </c>
      <c r="O144" s="2">
        <v>200</v>
      </c>
      <c r="P144" s="2">
        <f>IF(O144="-","-",IF(N144=0,"-",O144/E144))</f>
        <v>0.55555555555555558</v>
      </c>
      <c r="Q144" s="2">
        <f>IF(O144="-",0,O144/E144)</f>
        <v>0.55555555555555558</v>
      </c>
      <c r="R144" s="2">
        <v>2011</v>
      </c>
      <c r="S144" s="2">
        <f>R144/E144/H144*100</f>
        <v>3.1033950617283952</v>
      </c>
      <c r="T144" s="2">
        <v>716</v>
      </c>
      <c r="U144" s="2">
        <v>2848</v>
      </c>
      <c r="V144" s="2">
        <v>174.3</v>
      </c>
      <c r="W144" s="2">
        <f>Z144*SIN(AD144*PI()/180)*X144*H144/100</f>
        <v>28.00142853498728</v>
      </c>
      <c r="X144" s="2">
        <v>0.08</v>
      </c>
      <c r="Y144" s="2">
        <f t="shared" ref="Y144:Y149" si="55">W144*V144*1000</f>
        <v>4880648.9936482832</v>
      </c>
      <c r="Z144" s="2">
        <v>275</v>
      </c>
      <c r="AA144" s="2">
        <f t="shared" ref="AA144:AA149" si="56">9.5*1.4</f>
        <v>13.299999999999999</v>
      </c>
      <c r="AB144" s="2">
        <v>0.76</v>
      </c>
      <c r="AC144" s="2">
        <v>6.8</v>
      </c>
      <c r="AD144" s="2">
        <v>45</v>
      </c>
      <c r="AE144" s="2">
        <v>279.75</v>
      </c>
    </row>
    <row r="145" spans="1:31" x14ac:dyDescent="0.3">
      <c r="A145" s="2" t="s">
        <v>312</v>
      </c>
      <c r="B145" s="2" t="s">
        <v>95</v>
      </c>
      <c r="C145" s="2" t="s">
        <v>115</v>
      </c>
      <c r="D145" s="2">
        <v>59.4</v>
      </c>
      <c r="E145" s="2">
        <v>360</v>
      </c>
      <c r="F145" s="2">
        <v>400</v>
      </c>
      <c r="G145" s="2">
        <v>100</v>
      </c>
      <c r="H145" s="2">
        <v>180</v>
      </c>
      <c r="I145" s="2">
        <v>450</v>
      </c>
      <c r="J145" s="2">
        <v>3.3</v>
      </c>
      <c r="K145" s="2">
        <v>539</v>
      </c>
      <c r="L145" s="2">
        <f t="shared" si="52"/>
        <v>56.548667764616276</v>
      </c>
      <c r="M145" s="2">
        <f>L145/O145/H145*100</f>
        <v>0.15707963267948966</v>
      </c>
      <c r="N145" s="2">
        <f>L145*K145</f>
        <v>30479.731925128173</v>
      </c>
      <c r="O145" s="2">
        <v>200</v>
      </c>
      <c r="P145" s="2">
        <f>IF(O145="-","-",IF(N145=0,"-",O145/E145))</f>
        <v>0.55555555555555558</v>
      </c>
      <c r="Q145" s="2">
        <f>IF(O145="-",0,O145/E145)</f>
        <v>0.55555555555555558</v>
      </c>
      <c r="R145" s="2">
        <v>2011</v>
      </c>
      <c r="S145" s="2">
        <f>R145/E145/H145*100</f>
        <v>3.1033950617283952</v>
      </c>
      <c r="T145" s="2">
        <v>716</v>
      </c>
      <c r="U145" s="2">
        <v>2848</v>
      </c>
      <c r="V145" s="2">
        <v>174.3</v>
      </c>
      <c r="W145" s="2">
        <f>Z145*SIN(AD145*PI()/180)*X145*H145/100</f>
        <v>28.00142853498728</v>
      </c>
      <c r="X145" s="2">
        <v>0.08</v>
      </c>
      <c r="Y145" s="2">
        <f t="shared" si="55"/>
        <v>4880648.9936482832</v>
      </c>
      <c r="Z145" s="2">
        <v>275</v>
      </c>
      <c r="AA145" s="2">
        <f t="shared" si="56"/>
        <v>13.299999999999999</v>
      </c>
      <c r="AB145" s="2">
        <v>0.76</v>
      </c>
      <c r="AC145" s="2">
        <v>6.8</v>
      </c>
      <c r="AD145" s="2">
        <v>45</v>
      </c>
      <c r="AE145" s="2">
        <v>306</v>
      </c>
    </row>
    <row r="146" spans="1:31" x14ac:dyDescent="0.3">
      <c r="A146" s="2" t="s">
        <v>312</v>
      </c>
      <c r="B146" s="2" t="s">
        <v>95</v>
      </c>
      <c r="C146" s="2" t="s">
        <v>116</v>
      </c>
      <c r="D146" s="2">
        <v>59.4</v>
      </c>
      <c r="E146" s="2">
        <v>360</v>
      </c>
      <c r="F146" s="2">
        <v>400</v>
      </c>
      <c r="G146" s="2">
        <v>100</v>
      </c>
      <c r="H146" s="2">
        <v>180</v>
      </c>
      <c r="I146" s="2">
        <v>450</v>
      </c>
      <c r="J146" s="2">
        <v>3.3</v>
      </c>
      <c r="K146" s="2">
        <v>539</v>
      </c>
      <c r="L146" s="2">
        <f t="shared" si="52"/>
        <v>56.548667764616276</v>
      </c>
      <c r="M146" s="2">
        <f>L146/O146/H146*100</f>
        <v>0.15707963267948966</v>
      </c>
      <c r="N146" s="2">
        <f>L146*K146</f>
        <v>30479.731925128173</v>
      </c>
      <c r="O146" s="2">
        <v>200</v>
      </c>
      <c r="P146" s="2">
        <f>IF(O146="-","-",IF(N146=0,"-",O146/E146))</f>
        <v>0.55555555555555558</v>
      </c>
      <c r="Q146" s="2">
        <f>IF(O146="-",0,O146/E146)</f>
        <v>0.55555555555555558</v>
      </c>
      <c r="R146" s="2">
        <v>2011</v>
      </c>
      <c r="S146" s="2">
        <f>R146/E146/H146*100</f>
        <v>3.1033950617283952</v>
      </c>
      <c r="T146" s="2">
        <v>716</v>
      </c>
      <c r="U146" s="2">
        <v>2848</v>
      </c>
      <c r="V146" s="2">
        <v>174.3</v>
      </c>
      <c r="W146" s="2">
        <f>Z146*SIN(AD146*PI()/180)*X146*H146/100</f>
        <v>25.97768892723138</v>
      </c>
      <c r="X146" s="2">
        <v>0.13</v>
      </c>
      <c r="Y146" s="2">
        <f t="shared" si="55"/>
        <v>4527911.1800164301</v>
      </c>
      <c r="Z146" s="2">
        <v>157</v>
      </c>
      <c r="AA146" s="2">
        <f t="shared" si="56"/>
        <v>13.299999999999999</v>
      </c>
      <c r="AB146" s="2">
        <v>0.44</v>
      </c>
      <c r="AC146" s="2">
        <v>6.8</v>
      </c>
      <c r="AD146" s="2">
        <v>45</v>
      </c>
      <c r="AE146" s="2">
        <v>313.75</v>
      </c>
    </row>
    <row r="147" spans="1:31" x14ac:dyDescent="0.3">
      <c r="A147" s="2" t="s">
        <v>312</v>
      </c>
      <c r="B147" s="2" t="s">
        <v>95</v>
      </c>
      <c r="C147" s="2" t="s">
        <v>117</v>
      </c>
      <c r="D147" s="2">
        <v>59.4</v>
      </c>
      <c r="E147" s="2">
        <v>360</v>
      </c>
      <c r="F147" s="2">
        <v>400</v>
      </c>
      <c r="G147" s="2">
        <v>100</v>
      </c>
      <c r="H147" s="2">
        <v>180</v>
      </c>
      <c r="I147" s="2">
        <v>450</v>
      </c>
      <c r="J147" s="2">
        <v>3.3</v>
      </c>
      <c r="K147" s="2">
        <v>542</v>
      </c>
      <c r="L147" s="2">
        <f t="shared" si="52"/>
        <v>56.548667764616276</v>
      </c>
      <c r="M147" s="2">
        <f>L147/O147/H147*100</f>
        <v>0.15707963267948966</v>
      </c>
      <c r="N147" s="2">
        <f>L147*K147</f>
        <v>30649.377928422022</v>
      </c>
      <c r="O147" s="2">
        <v>200</v>
      </c>
      <c r="P147" s="2">
        <f>IF(O147="-","-",IF(N147=0,"-",O147/E147))</f>
        <v>0.55555555555555558</v>
      </c>
      <c r="Q147" s="2">
        <f>IF(O147="-",0,O147/E147)</f>
        <v>0.55555555555555558</v>
      </c>
      <c r="R147" s="2">
        <v>2011</v>
      </c>
      <c r="S147" s="2">
        <f>R147/E147/H147*100</f>
        <v>3.1033950617283952</v>
      </c>
      <c r="T147" s="2">
        <v>716</v>
      </c>
      <c r="U147" s="2">
        <v>2848</v>
      </c>
      <c r="V147" s="2">
        <v>174.3</v>
      </c>
      <c r="W147" s="2">
        <f>Z147*SIN(AD147*PI()/180)*X147*H147/100</f>
        <v>26.515965813071944</v>
      </c>
      <c r="X147" s="2">
        <v>7.0000000000000007E-2</v>
      </c>
      <c r="Y147" s="2">
        <f t="shared" si="55"/>
        <v>4621732.8412184399</v>
      </c>
      <c r="Z147" s="2">
        <v>243</v>
      </c>
      <c r="AA147" s="2">
        <f t="shared" si="56"/>
        <v>13.299999999999999</v>
      </c>
      <c r="AB147" s="2">
        <v>0.68</v>
      </c>
      <c r="AC147" s="2">
        <v>6.8</v>
      </c>
      <c r="AD147" s="2">
        <v>60</v>
      </c>
      <c r="AE147" s="2">
        <v>278.2</v>
      </c>
    </row>
    <row r="148" spans="1:31" x14ac:dyDescent="0.3">
      <c r="A148" s="2" t="s">
        <v>312</v>
      </c>
      <c r="B148" s="2" t="s">
        <v>95</v>
      </c>
      <c r="C148" s="2" t="s">
        <v>118</v>
      </c>
      <c r="D148" s="2">
        <v>59.4</v>
      </c>
      <c r="E148" s="2">
        <v>360</v>
      </c>
      <c r="F148" s="2">
        <v>400</v>
      </c>
      <c r="G148" s="2">
        <v>100</v>
      </c>
      <c r="H148" s="2">
        <v>180</v>
      </c>
      <c r="I148" s="2">
        <v>450</v>
      </c>
      <c r="J148" s="2">
        <v>3.3</v>
      </c>
      <c r="K148" s="2">
        <v>539</v>
      </c>
      <c r="L148" s="2">
        <f t="shared" si="52"/>
        <v>56.548667764616276</v>
      </c>
      <c r="M148" s="2">
        <f>L148/O148/H148*100</f>
        <v>0.15707963267948966</v>
      </c>
      <c r="N148" s="2">
        <f>L148*K148</f>
        <v>30479.731925128173</v>
      </c>
      <c r="O148" s="2">
        <v>200</v>
      </c>
      <c r="P148" s="2">
        <f>IF(O148="-","-",IF(N148=0,"-",O148/E148))</f>
        <v>0.55555555555555558</v>
      </c>
      <c r="Q148" s="2">
        <f>IF(O148="-",0,O148/E148)</f>
        <v>0.55555555555555558</v>
      </c>
      <c r="R148" s="2">
        <v>2011</v>
      </c>
      <c r="S148" s="2">
        <f>R148/E148/H148*100</f>
        <v>3.1033950617283952</v>
      </c>
      <c r="T148" s="2">
        <v>716</v>
      </c>
      <c r="U148" s="2">
        <v>2848</v>
      </c>
      <c r="V148" s="2">
        <v>174.3</v>
      </c>
      <c r="W148" s="2">
        <f>Z148*SIN(AD148*PI()/180)*X148*H148/100</f>
        <v>26.515965813071944</v>
      </c>
      <c r="X148" s="2">
        <v>7.0000000000000007E-2</v>
      </c>
      <c r="Y148" s="2">
        <f t="shared" si="55"/>
        <v>4621732.8412184399</v>
      </c>
      <c r="Z148" s="2">
        <v>243</v>
      </c>
      <c r="AA148" s="2">
        <f t="shared" si="56"/>
        <v>13.299999999999999</v>
      </c>
      <c r="AB148" s="2">
        <v>0.68</v>
      </c>
      <c r="AC148" s="2">
        <v>6.8</v>
      </c>
      <c r="AD148" s="2">
        <v>60</v>
      </c>
      <c r="AE148" s="2">
        <v>277.39999999999998</v>
      </c>
    </row>
    <row r="149" spans="1:31" x14ac:dyDescent="0.3">
      <c r="A149" s="2" t="s">
        <v>312</v>
      </c>
      <c r="B149" s="2" t="s">
        <v>95</v>
      </c>
      <c r="C149" s="2" t="s">
        <v>119</v>
      </c>
      <c r="D149" s="2">
        <v>59.4</v>
      </c>
      <c r="E149" s="2">
        <v>360</v>
      </c>
      <c r="F149" s="2">
        <v>400</v>
      </c>
      <c r="G149" s="2">
        <v>100</v>
      </c>
      <c r="H149" s="2">
        <v>180</v>
      </c>
      <c r="I149" s="2">
        <v>450</v>
      </c>
      <c r="J149" s="2">
        <v>3.3</v>
      </c>
      <c r="K149" s="2">
        <v>542</v>
      </c>
      <c r="L149" s="2">
        <f t="shared" si="52"/>
        <v>56.548667764616276</v>
      </c>
      <c r="M149" s="2">
        <f>L149/O149/H149*100</f>
        <v>0.15707963267948966</v>
      </c>
      <c r="N149" s="2">
        <f>L149*K149</f>
        <v>30649.377928422022</v>
      </c>
      <c r="O149" s="2">
        <v>200</v>
      </c>
      <c r="P149" s="2">
        <f>IF(O149="-","-",IF(N149=0,"-",O149/E149))</f>
        <v>0.55555555555555558</v>
      </c>
      <c r="Q149" s="2">
        <f>IF(O149="-",0,O149/E149)</f>
        <v>0.55555555555555558</v>
      </c>
      <c r="R149" s="2">
        <v>2011</v>
      </c>
      <c r="S149" s="2">
        <f>R149/E149/H149*100</f>
        <v>3.1033950617283952</v>
      </c>
      <c r="T149" s="2">
        <v>716</v>
      </c>
      <c r="U149" s="2">
        <v>2848</v>
      </c>
      <c r="V149" s="2">
        <v>174.3</v>
      </c>
      <c r="W149" s="2">
        <f>Z149*SIN(AD149*PI()/180)*X149*H149/100</f>
        <v>27.778630851789654</v>
      </c>
      <c r="X149" s="2">
        <v>0.11</v>
      </c>
      <c r="Y149" s="2">
        <f t="shared" si="55"/>
        <v>4841815.357466937</v>
      </c>
      <c r="Z149" s="2">
        <v>162</v>
      </c>
      <c r="AA149" s="2">
        <f t="shared" si="56"/>
        <v>13.299999999999999</v>
      </c>
      <c r="AB149" s="2">
        <v>0.45</v>
      </c>
      <c r="AC149" s="2">
        <v>6.8</v>
      </c>
      <c r="AD149" s="2">
        <v>60</v>
      </c>
      <c r="AE149" s="2">
        <v>327.3</v>
      </c>
    </row>
    <row r="150" spans="1:31" x14ac:dyDescent="0.3">
      <c r="A150" s="2" t="s">
        <v>313</v>
      </c>
      <c r="B150" s="2" t="s">
        <v>95</v>
      </c>
      <c r="C150" s="2" t="s">
        <v>26</v>
      </c>
      <c r="D150" s="2">
        <v>36.4</v>
      </c>
      <c r="E150" s="2">
        <v>558</v>
      </c>
      <c r="F150" s="2">
        <v>600</v>
      </c>
      <c r="G150" s="2">
        <v>100</v>
      </c>
      <c r="H150" s="2">
        <v>180</v>
      </c>
      <c r="I150" s="2">
        <v>450</v>
      </c>
      <c r="J150" s="2">
        <f>1400/E150</f>
        <v>2.5089605734767026</v>
      </c>
      <c r="K150" s="2">
        <v>555</v>
      </c>
      <c r="L150" s="2">
        <f t="shared" si="52"/>
        <v>56.548667764616276</v>
      </c>
      <c r="M150" s="2">
        <f>L150/O150/H150*100</f>
        <v>8.9759790102565518E-2</v>
      </c>
      <c r="N150" s="2">
        <f>L150*K150</f>
        <v>31384.510609362034</v>
      </c>
      <c r="O150" s="2">
        <v>350</v>
      </c>
      <c r="P150" s="2">
        <f>IF(O150="-","-",IF(N150=0,"-",O150/E150))</f>
        <v>0.62724014336917566</v>
      </c>
      <c r="Q150" s="2">
        <f>IF(O150="-","-",IF(N150=0,"-",O150/E150))</f>
        <v>0.62724014336917566</v>
      </c>
      <c r="R150" s="2">
        <f>2*PI()/4*(32^2+16^2)</f>
        <v>2010.6192982974676</v>
      </c>
      <c r="S150" s="2">
        <f>R150/E150/H150*100</f>
        <v>2.0018113284522774</v>
      </c>
      <c r="T150" s="2">
        <f>734*3/4+560/4</f>
        <v>690.5</v>
      </c>
      <c r="U150" s="2" t="s">
        <v>210</v>
      </c>
      <c r="V150" s="2" t="s">
        <v>210</v>
      </c>
      <c r="W150" s="2">
        <v>0</v>
      </c>
      <c r="X150" s="2">
        <v>0</v>
      </c>
      <c r="Y150" s="2">
        <v>0</v>
      </c>
      <c r="Z150" s="2" t="s">
        <v>210</v>
      </c>
      <c r="AA150" s="2" t="s">
        <v>210</v>
      </c>
      <c r="AB150" s="2">
        <v>5</v>
      </c>
      <c r="AC150" s="2">
        <v>1</v>
      </c>
      <c r="AD150" s="2">
        <v>90</v>
      </c>
      <c r="AE150" s="2">
        <v>220.93333333333331</v>
      </c>
    </row>
    <row r="151" spans="1:31" x14ac:dyDescent="0.3">
      <c r="A151" s="2" t="s">
        <v>313</v>
      </c>
      <c r="B151" s="2" t="s">
        <v>95</v>
      </c>
      <c r="C151" s="2" t="s">
        <v>28</v>
      </c>
      <c r="D151" s="2">
        <v>36.4</v>
      </c>
      <c r="E151" s="2">
        <v>558</v>
      </c>
      <c r="F151" s="2">
        <v>600</v>
      </c>
      <c r="G151" s="2">
        <v>100</v>
      </c>
      <c r="H151" s="2">
        <v>180</v>
      </c>
      <c r="I151" s="2">
        <v>450</v>
      </c>
      <c r="J151" s="2">
        <f>1400/E151</f>
        <v>2.5089605734767026</v>
      </c>
      <c r="K151" s="2">
        <v>555</v>
      </c>
      <c r="L151" s="2">
        <f t="shared" si="52"/>
        <v>56.548667764616276</v>
      </c>
      <c r="M151" s="2">
        <f>L151/O151/H151*100</f>
        <v>8.9759790102565518E-2</v>
      </c>
      <c r="N151" s="2">
        <f>L151*K151</f>
        <v>31384.510609362034</v>
      </c>
      <c r="O151" s="2">
        <v>350</v>
      </c>
      <c r="P151" s="2">
        <f>IF(O151="-","-",IF(N151=0,"-",O151/E151))</f>
        <v>0.62724014336917566</v>
      </c>
      <c r="Q151" s="2">
        <f>IF(O151="-","-",IF(N151=0,"-",O151/E151))</f>
        <v>0.62724014336917566</v>
      </c>
      <c r="R151" s="2">
        <f>2*PI()/4*(32^2+16^2)</f>
        <v>2010.6192982974676</v>
      </c>
      <c r="S151" s="2">
        <f>R151/E151/H151*100</f>
        <v>2.0018113284522774</v>
      </c>
      <c r="T151" s="2">
        <f>734*3/4+560/4</f>
        <v>690.5</v>
      </c>
      <c r="U151" s="2">
        <v>3009</v>
      </c>
      <c r="V151" s="2">
        <v>169.2</v>
      </c>
      <c r="W151" s="2">
        <f>2*AA151</f>
        <v>28</v>
      </c>
      <c r="X151" s="2">
        <f>W151/Z151/H151*100/SIN(AD151*PI()/180)</f>
        <v>4.4444444444444446E-2</v>
      </c>
      <c r="Y151" s="2">
        <v>4800000</v>
      </c>
      <c r="Z151" s="2">
        <v>350</v>
      </c>
      <c r="AA151" s="2">
        <v>14</v>
      </c>
      <c r="AB151" s="2">
        <f>Z151/E151</f>
        <v>0.62724014336917566</v>
      </c>
      <c r="AC151" s="2">
        <f>10/1.4</f>
        <v>7.1428571428571432</v>
      </c>
      <c r="AD151" s="2">
        <v>90</v>
      </c>
      <c r="AE151" s="2">
        <v>267.86666666666667</v>
      </c>
    </row>
    <row r="152" spans="1:31" x14ac:dyDescent="0.3">
      <c r="A152" s="2" t="s">
        <v>313</v>
      </c>
      <c r="B152" s="2" t="s">
        <v>95</v>
      </c>
      <c r="C152" s="2" t="s">
        <v>29</v>
      </c>
      <c r="D152" s="2">
        <v>36.4</v>
      </c>
      <c r="E152" s="2">
        <v>558</v>
      </c>
      <c r="F152" s="2">
        <v>600</v>
      </c>
      <c r="G152" s="2">
        <v>100</v>
      </c>
      <c r="H152" s="2">
        <v>180</v>
      </c>
      <c r="I152" s="2">
        <v>450</v>
      </c>
      <c r="J152" s="2">
        <f>1400/E152</f>
        <v>2.5089605734767026</v>
      </c>
      <c r="K152" s="2">
        <v>555</v>
      </c>
      <c r="L152" s="2">
        <f t="shared" si="52"/>
        <v>56.548667764616276</v>
      </c>
      <c r="M152" s="2">
        <f>L152/O152/H152*100</f>
        <v>8.9759790102565518E-2</v>
      </c>
      <c r="N152" s="2">
        <f>L152*K152</f>
        <v>31384.510609362034</v>
      </c>
      <c r="O152" s="2">
        <v>350</v>
      </c>
      <c r="P152" s="2">
        <f>IF(O152="-","-",IF(N152=0,"-",O152/E152))</f>
        <v>0.62724014336917566</v>
      </c>
      <c r="Q152" s="2">
        <f>IF(O152="-","-",IF(N152=0,"-",O152/E152))</f>
        <v>0.62724014336917566</v>
      </c>
      <c r="R152" s="2">
        <f>2*PI()/4*(32^2+16^2)</f>
        <v>2010.6192982974676</v>
      </c>
      <c r="S152" s="2">
        <f>R152/E152/H152*100</f>
        <v>2.0018113284522774</v>
      </c>
      <c r="T152" s="2">
        <f>734*3/4+560/4</f>
        <v>690.5</v>
      </c>
      <c r="U152" s="2">
        <v>3009</v>
      </c>
      <c r="V152" s="2">
        <v>169.2</v>
      </c>
      <c r="W152" s="2">
        <f>2*AA152</f>
        <v>28</v>
      </c>
      <c r="X152" s="2">
        <f>W152/Z152/H152*100/SIN(AD152*PI()/180)</f>
        <v>8.8888888888888892E-2</v>
      </c>
      <c r="Y152" s="2">
        <v>4800000</v>
      </c>
      <c r="Z152" s="2">
        <v>175</v>
      </c>
      <c r="AA152" s="2">
        <v>14</v>
      </c>
      <c r="AB152" s="2">
        <f>Z152/E152</f>
        <v>0.31362007168458783</v>
      </c>
      <c r="AC152" s="2">
        <f>10/1.4</f>
        <v>7.1428571428571432</v>
      </c>
      <c r="AD152" s="2">
        <v>90</v>
      </c>
      <c r="AE152" s="2">
        <v>314.73333333333335</v>
      </c>
    </row>
    <row r="153" spans="1:31" x14ac:dyDescent="0.3">
      <c r="A153" s="2" t="s">
        <v>313</v>
      </c>
      <c r="B153" s="2" t="s">
        <v>95</v>
      </c>
      <c r="C153" s="2" t="s">
        <v>27</v>
      </c>
      <c r="D153" s="2">
        <v>40.4</v>
      </c>
      <c r="E153" s="2">
        <v>558</v>
      </c>
      <c r="F153" s="2">
        <v>600</v>
      </c>
      <c r="G153" s="2">
        <v>100</v>
      </c>
      <c r="H153" s="2">
        <v>180</v>
      </c>
      <c r="I153" s="2">
        <v>450</v>
      </c>
      <c r="J153" s="2">
        <f>1400/E153</f>
        <v>2.5089605734767026</v>
      </c>
      <c r="K153" s="2">
        <v>555</v>
      </c>
      <c r="L153" s="2">
        <f t="shared" si="52"/>
        <v>56.548667764616276</v>
      </c>
      <c r="M153" s="2">
        <f>L153/O153/H153*100</f>
        <v>8.9759790102565518E-2</v>
      </c>
      <c r="N153" s="2">
        <f>L153*K153</f>
        <v>31384.510609362034</v>
      </c>
      <c r="O153" s="2">
        <v>350</v>
      </c>
      <c r="P153" s="2">
        <f>IF(O153="-","-",IF(N153=0,"-",O153/E153))</f>
        <v>0.62724014336917566</v>
      </c>
      <c r="Q153" s="2">
        <f>IF(O153="-","-",IF(N153=0,"-",O153/E153))</f>
        <v>0.62724014336917566</v>
      </c>
      <c r="R153" s="2">
        <f>2*PI()/4*(32^2+16^2)</f>
        <v>2010.6192982974676</v>
      </c>
      <c r="S153" s="2">
        <f>R153/E153/H153*100</f>
        <v>2.0018113284522774</v>
      </c>
      <c r="T153" s="2">
        <f>734*3/4+560/4</f>
        <v>690.5</v>
      </c>
      <c r="U153" s="2">
        <v>3009</v>
      </c>
      <c r="V153" s="2">
        <v>169.2</v>
      </c>
      <c r="W153" s="2">
        <f>2*AA153</f>
        <v>28</v>
      </c>
      <c r="X153" s="2">
        <f>W153/Z153/H153*100/SIN(AD153*PI()/180)</f>
        <v>5.6400809558781281E-2</v>
      </c>
      <c r="Y153" s="2">
        <v>4800000</v>
      </c>
      <c r="Z153" s="2">
        <v>350</v>
      </c>
      <c r="AA153" s="2">
        <v>14</v>
      </c>
      <c r="AB153" s="2">
        <f>Z153/E153</f>
        <v>0.62724014336917566</v>
      </c>
      <c r="AC153" s="2">
        <f>10/1.4</f>
        <v>7.1428571428571432</v>
      </c>
      <c r="AD153" s="2">
        <v>52</v>
      </c>
      <c r="AE153" s="2">
        <v>327.8</v>
      </c>
    </row>
    <row r="154" spans="1:31" x14ac:dyDescent="0.3">
      <c r="A154" s="2" t="s">
        <v>313</v>
      </c>
      <c r="B154" s="2" t="s">
        <v>95</v>
      </c>
      <c r="C154" s="2" t="s">
        <v>30</v>
      </c>
      <c r="D154" s="2">
        <v>40.4</v>
      </c>
      <c r="E154" s="2">
        <v>558</v>
      </c>
      <c r="F154" s="2">
        <v>600</v>
      </c>
      <c r="G154" s="2">
        <v>100</v>
      </c>
      <c r="H154" s="2">
        <v>180</v>
      </c>
      <c r="I154" s="2">
        <v>450</v>
      </c>
      <c r="J154" s="2">
        <f>1400/E154</f>
        <v>2.5089605734767026</v>
      </c>
      <c r="K154" s="2">
        <v>555</v>
      </c>
      <c r="L154" s="2">
        <f t="shared" si="52"/>
        <v>56.548667764616276</v>
      </c>
      <c r="M154" s="2">
        <f>L154/O154/H154*100</f>
        <v>8.9759790102565518E-2</v>
      </c>
      <c r="N154" s="2">
        <f>L154*K154</f>
        <v>31384.510609362034</v>
      </c>
      <c r="O154" s="2">
        <v>350</v>
      </c>
      <c r="P154" s="2">
        <f>IF(O154="-","-",IF(N154=0,"-",O154/E154))</f>
        <v>0.62724014336917566</v>
      </c>
      <c r="Q154" s="2">
        <f>IF(O154="-","-",IF(N154=0,"-",O154/E154))</f>
        <v>0.62724014336917566</v>
      </c>
      <c r="R154" s="2">
        <f>2*PI()/4*(32^2+16^2)</f>
        <v>2010.6192982974676</v>
      </c>
      <c r="S154" s="2">
        <f>R154/E154/H154*100</f>
        <v>2.0018113284522774</v>
      </c>
      <c r="T154" s="2">
        <f>734*3/4+560/4</f>
        <v>690.5</v>
      </c>
      <c r="U154" s="2">
        <v>3009</v>
      </c>
      <c r="V154" s="2">
        <v>169.2</v>
      </c>
      <c r="W154" s="2">
        <f>2*AA154</f>
        <v>28</v>
      </c>
      <c r="X154" s="2">
        <f>W154/Z154/H154*100/SIN(AD154*PI()/180)</f>
        <v>0.11280161911756256</v>
      </c>
      <c r="Y154" s="2">
        <v>4800000</v>
      </c>
      <c r="Z154" s="2">
        <v>175</v>
      </c>
      <c r="AA154" s="2">
        <v>14</v>
      </c>
      <c r="AB154" s="2">
        <f>Z154/E154</f>
        <v>0.31362007168458783</v>
      </c>
      <c r="AC154" s="2">
        <f>10/1.4</f>
        <v>7.1428571428571432</v>
      </c>
      <c r="AD154" s="2">
        <v>52</v>
      </c>
      <c r="AE154" s="2">
        <v>403.33333333333331</v>
      </c>
    </row>
    <row r="155" spans="1:31" x14ac:dyDescent="0.3">
      <c r="A155" s="2" t="s">
        <v>314</v>
      </c>
      <c r="B155" s="2" t="s">
        <v>98</v>
      </c>
      <c r="C155" s="2" t="s">
        <v>61</v>
      </c>
      <c r="D155" s="2">
        <f>49.75*0.8</f>
        <v>39.800000000000004</v>
      </c>
      <c r="E155" s="2">
        <f>F155-25-10-19/2</f>
        <v>260.5</v>
      </c>
      <c r="F155" s="2">
        <v>305</v>
      </c>
      <c r="G155" s="2">
        <v>0</v>
      </c>
      <c r="H155" s="2">
        <v>254</v>
      </c>
      <c r="I155" s="2">
        <v>254</v>
      </c>
      <c r="J155" s="2">
        <v>2.34</v>
      </c>
      <c r="K155" s="2">
        <v>413.7</v>
      </c>
      <c r="L155" s="2">
        <f>2*65.2</f>
        <v>130.4</v>
      </c>
      <c r="M155" s="2">
        <f>L155/O155/H155*100</f>
        <v>0.33775383340240367</v>
      </c>
      <c r="N155" s="2">
        <f>L155*K155</f>
        <v>53946.48</v>
      </c>
      <c r="O155" s="2">
        <v>152</v>
      </c>
      <c r="P155" s="2">
        <f>IF(O155="-","-",IF(N155=0,"-",O155/E155))</f>
        <v>0.58349328214971208</v>
      </c>
      <c r="Q155" s="2">
        <f>IF(O155="-","-",IF(N155=0,"-",O155/E155))</f>
        <v>0.58349328214971208</v>
      </c>
      <c r="R155" s="2">
        <f>19.05^2*PI()/4*4</f>
        <v>1140.0918279693699</v>
      </c>
      <c r="S155" s="2">
        <f>R155/E155/H155*100</f>
        <v>1.7230520168201215</v>
      </c>
      <c r="T155" s="2">
        <v>413.7</v>
      </c>
      <c r="U155" s="2" t="s">
        <v>210</v>
      </c>
      <c r="V155" s="2" t="s">
        <v>210</v>
      </c>
      <c r="W155" s="2">
        <v>0</v>
      </c>
      <c r="X155" s="2">
        <v>0</v>
      </c>
      <c r="Y155" s="2">
        <v>0</v>
      </c>
      <c r="Z155" s="2" t="s">
        <v>210</v>
      </c>
      <c r="AA155" s="2" t="s">
        <v>210</v>
      </c>
      <c r="AB155" s="2">
        <v>5</v>
      </c>
      <c r="AC155" s="2">
        <v>1</v>
      </c>
      <c r="AD155" s="2">
        <v>90</v>
      </c>
      <c r="AE155" s="2">
        <v>182.5</v>
      </c>
    </row>
    <row r="156" spans="1:31" x14ac:dyDescent="0.3">
      <c r="A156" s="2" t="s">
        <v>314</v>
      </c>
      <c r="B156" s="2" t="s">
        <v>98</v>
      </c>
      <c r="C156" s="2" t="s">
        <v>62</v>
      </c>
      <c r="D156" s="2">
        <f>49.75*0.8</f>
        <v>39.800000000000004</v>
      </c>
      <c r="E156" s="2">
        <f>F156-25-10-19/2</f>
        <v>260.5</v>
      </c>
      <c r="F156" s="2">
        <v>305</v>
      </c>
      <c r="G156" s="2">
        <v>0</v>
      </c>
      <c r="H156" s="2">
        <v>254</v>
      </c>
      <c r="I156" s="2">
        <v>254</v>
      </c>
      <c r="J156" s="2">
        <v>2.34</v>
      </c>
      <c r="K156" s="2">
        <v>413.7</v>
      </c>
      <c r="L156" s="2">
        <f>2*65.2</f>
        <v>130.4</v>
      </c>
      <c r="M156" s="2">
        <f>L156/O156/H156*100</f>
        <v>0.33775383340240367</v>
      </c>
      <c r="N156" s="2">
        <f>L156*K156</f>
        <v>53946.48</v>
      </c>
      <c r="O156" s="2">
        <v>152</v>
      </c>
      <c r="P156" s="2">
        <f>IF(O156="-","-",IF(N156=0,"-",O156/E156))</f>
        <v>0.58349328214971208</v>
      </c>
      <c r="Q156" s="2">
        <f>IF(O156="-","-",IF(N156=0,"-",O156/E156))</f>
        <v>0.58349328214971208</v>
      </c>
      <c r="R156" s="2">
        <f>19.05^2*PI()/4*4</f>
        <v>1140.0918279693699</v>
      </c>
      <c r="S156" s="2">
        <f>R156/E156/H156*100</f>
        <v>1.7230520168201215</v>
      </c>
      <c r="T156" s="2">
        <v>413.7</v>
      </c>
      <c r="U156" s="2">
        <v>2068</v>
      </c>
      <c r="V156" s="2">
        <v>124</v>
      </c>
      <c r="W156" s="2">
        <f>AA156*2</f>
        <v>130.4</v>
      </c>
      <c r="X156" s="2">
        <f>W156/Z156/H156*100/SIN(AD156*PI()/180)</f>
        <v>0.33775383340240367</v>
      </c>
      <c r="Y156" s="2">
        <f>W156*V156*1000</f>
        <v>16169600</v>
      </c>
      <c r="Z156" s="2">
        <v>152</v>
      </c>
      <c r="AA156" s="2">
        <v>65.2</v>
      </c>
      <c r="AB156" s="2">
        <f>Z156/E156</f>
        <v>0.58349328214971208</v>
      </c>
      <c r="AC156" s="2">
        <v>1</v>
      </c>
      <c r="AD156" s="2">
        <v>90</v>
      </c>
      <c r="AE156" s="2">
        <v>227</v>
      </c>
    </row>
    <row r="157" spans="1:31" x14ac:dyDescent="0.3">
      <c r="A157" s="2" t="s">
        <v>314</v>
      </c>
      <c r="B157" s="2" t="s">
        <v>98</v>
      </c>
      <c r="C157" s="2" t="s">
        <v>63</v>
      </c>
      <c r="D157" s="2">
        <f>49.75*0.8</f>
        <v>39.800000000000004</v>
      </c>
      <c r="E157" s="2">
        <f>F157-25-10-19/2</f>
        <v>260.5</v>
      </c>
      <c r="F157" s="2">
        <v>305</v>
      </c>
      <c r="G157" s="2">
        <v>0</v>
      </c>
      <c r="H157" s="2">
        <v>254</v>
      </c>
      <c r="I157" s="2">
        <v>254</v>
      </c>
      <c r="J157" s="2">
        <v>2.34</v>
      </c>
      <c r="K157" s="2">
        <v>413.7</v>
      </c>
      <c r="L157" s="2">
        <f>2*65.2</f>
        <v>130.4</v>
      </c>
      <c r="M157" s="2">
        <f>L157/O157/H157*100</f>
        <v>0.16832322189234541</v>
      </c>
      <c r="N157" s="2">
        <f>L157*K157</f>
        <v>53946.48</v>
      </c>
      <c r="O157" s="2">
        <v>305</v>
      </c>
      <c r="P157" s="2">
        <f>IF(O157="-","-",IF(N157=0,"-",O157/E157))</f>
        <v>1.1708253358925145</v>
      </c>
      <c r="Q157" s="2">
        <f>IF(O157="-","-",IF(N157=0,"-",O157/E157))</f>
        <v>1.1708253358925145</v>
      </c>
      <c r="R157" s="2">
        <f>19.05^2*PI()/4*4</f>
        <v>1140.0918279693699</v>
      </c>
      <c r="S157" s="2">
        <f>R157/E157/H157*100</f>
        <v>1.7230520168201215</v>
      </c>
      <c r="T157" s="2">
        <v>413.7</v>
      </c>
      <c r="U157" s="2">
        <v>2068</v>
      </c>
      <c r="V157" s="2">
        <v>124</v>
      </c>
      <c r="W157" s="2">
        <f>AA157*2</f>
        <v>130.4</v>
      </c>
      <c r="X157" s="2">
        <f>W157/Z157/H157*100/SIN(AD157*PI()/180)</f>
        <v>0.16832322189234541</v>
      </c>
      <c r="Y157" s="2">
        <f>W157*V157*1000</f>
        <v>16169600</v>
      </c>
      <c r="Z157" s="2">
        <v>305</v>
      </c>
      <c r="AA157" s="2">
        <v>65.2</v>
      </c>
      <c r="AB157" s="2">
        <f>Z157/E157</f>
        <v>1.1708253358925145</v>
      </c>
      <c r="AC157" s="2">
        <v>1</v>
      </c>
      <c r="AD157" s="2">
        <v>90</v>
      </c>
      <c r="AE157" s="2">
        <v>213.5</v>
      </c>
    </row>
    <row r="158" spans="1:31" x14ac:dyDescent="0.3">
      <c r="A158" s="2" t="s">
        <v>314</v>
      </c>
      <c r="B158" s="2" t="s">
        <v>98</v>
      </c>
      <c r="C158" s="2" t="s">
        <v>64</v>
      </c>
      <c r="D158" s="2">
        <f>49.75*0.8</f>
        <v>39.800000000000004</v>
      </c>
      <c r="E158" s="2">
        <f>F158-25-10-19/2</f>
        <v>260.5</v>
      </c>
      <c r="F158" s="2">
        <v>305</v>
      </c>
      <c r="G158" s="2">
        <v>0</v>
      </c>
      <c r="H158" s="2">
        <v>254</v>
      </c>
      <c r="I158" s="2">
        <v>254</v>
      </c>
      <c r="J158" s="2">
        <v>2.34</v>
      </c>
      <c r="K158" s="2">
        <v>413.7</v>
      </c>
      <c r="L158" s="2">
        <f>2*65.2</f>
        <v>130.4</v>
      </c>
      <c r="M158" s="2">
        <f>L158/O158/H158*100</f>
        <v>8.4161610946172707E-2</v>
      </c>
      <c r="N158" s="2">
        <f>L158*K158</f>
        <v>53946.48</v>
      </c>
      <c r="O158" s="2">
        <v>610</v>
      </c>
      <c r="P158" s="2">
        <f>IF(O158="-","-",IF(N158=0,"-",O158/E158))</f>
        <v>2.3416506717850289</v>
      </c>
      <c r="Q158" s="2">
        <f>IF(O158="-","-",IF(N158=0,"-",O158/E158))</f>
        <v>2.3416506717850289</v>
      </c>
      <c r="R158" s="2">
        <f>19.05^2*PI()/4*4</f>
        <v>1140.0918279693699</v>
      </c>
      <c r="S158" s="2">
        <f>R158/E158/H158*100</f>
        <v>1.7230520168201215</v>
      </c>
      <c r="T158" s="2">
        <v>413.7</v>
      </c>
      <c r="U158" s="2">
        <v>2068</v>
      </c>
      <c r="V158" s="2">
        <v>124</v>
      </c>
      <c r="W158" s="2">
        <f>AA158*2</f>
        <v>130.4</v>
      </c>
      <c r="X158" s="2">
        <f>W158/Z158/H158*100/SIN(AD158*PI()/180)</f>
        <v>0.26949387232107797</v>
      </c>
      <c r="Y158" s="2">
        <f>W158*V158*1000</f>
        <v>16169600</v>
      </c>
      <c r="Z158" s="2">
        <v>190.5</v>
      </c>
      <c r="AA158" s="2">
        <v>65.2</v>
      </c>
      <c r="AB158" s="2">
        <f>Z158/E158</f>
        <v>0.7312859884836852</v>
      </c>
      <c r="AC158" s="2">
        <v>1</v>
      </c>
      <c r="AD158" s="2">
        <v>90</v>
      </c>
      <c r="AE158" s="2">
        <v>218</v>
      </c>
    </row>
    <row r="159" spans="1:31" x14ac:dyDescent="0.3">
      <c r="A159" s="2" t="s">
        <v>89</v>
      </c>
      <c r="B159" s="2" t="s">
        <v>98</v>
      </c>
      <c r="C159" s="2" t="s">
        <v>262</v>
      </c>
      <c r="D159" s="2">
        <v>36.4</v>
      </c>
      <c r="E159" s="2">
        <v>220</v>
      </c>
      <c r="F159" s="2">
        <v>250</v>
      </c>
      <c r="G159" s="2">
        <v>0</v>
      </c>
      <c r="H159" s="2">
        <v>200</v>
      </c>
      <c r="I159" s="2">
        <f t="shared" ref="I159:I164" si="57">IF(G159=0,H159,"")</f>
        <v>200</v>
      </c>
      <c r="J159" s="2">
        <v>2.34</v>
      </c>
      <c r="K159" s="2">
        <v>203</v>
      </c>
      <c r="L159" s="2">
        <f t="shared" ref="L159:L164" si="58">2*PI()*6^2/4</f>
        <v>56.548667764616276</v>
      </c>
      <c r="M159" s="2">
        <f>L159/O159/H159*100</f>
        <v>0.18849555921538758</v>
      </c>
      <c r="N159" s="2">
        <f>L159*K159</f>
        <v>11479.379556217104</v>
      </c>
      <c r="O159" s="2">
        <v>150</v>
      </c>
      <c r="P159" s="2">
        <f>IF(O159="-","-",O159/E159)</f>
        <v>0.68181818181818177</v>
      </c>
      <c r="Q159" s="2">
        <f>IF(O159="-",0,O159/E159)</f>
        <v>0.68181818181818177</v>
      </c>
      <c r="R159" s="2">
        <f t="shared" ref="R159:R164" si="59">20^2*PI()/4*4</f>
        <v>1256.6370614359173</v>
      </c>
      <c r="S159" s="2">
        <f>R159/E159/H159*100</f>
        <v>2.8559933214452666</v>
      </c>
      <c r="T159" s="2">
        <v>570</v>
      </c>
      <c r="U159" s="2" t="s">
        <v>210</v>
      </c>
      <c r="V159" s="2" t="s">
        <v>210</v>
      </c>
      <c r="W159" s="2">
        <v>0</v>
      </c>
      <c r="X159" s="2">
        <v>0</v>
      </c>
      <c r="Y159" s="2">
        <v>0</v>
      </c>
      <c r="Z159" s="2" t="s">
        <v>210</v>
      </c>
      <c r="AA159" s="2" t="s">
        <v>210</v>
      </c>
      <c r="AB159" s="2">
        <v>5</v>
      </c>
      <c r="AC159" s="2">
        <v>1</v>
      </c>
      <c r="AD159" s="2">
        <v>90</v>
      </c>
      <c r="AE159" s="2">
        <f>263.94/2</f>
        <v>131.97</v>
      </c>
    </row>
    <row r="160" spans="1:31" x14ac:dyDescent="0.3">
      <c r="A160" s="2" t="s">
        <v>89</v>
      </c>
      <c r="B160" s="2" t="s">
        <v>98</v>
      </c>
      <c r="C160" s="2" t="s">
        <v>120</v>
      </c>
      <c r="D160" s="2">
        <v>36.4</v>
      </c>
      <c r="E160" s="2">
        <v>220</v>
      </c>
      <c r="F160" s="2">
        <v>250</v>
      </c>
      <c r="G160" s="2">
        <v>0</v>
      </c>
      <c r="H160" s="2">
        <v>200</v>
      </c>
      <c r="I160" s="2">
        <f t="shared" si="57"/>
        <v>200</v>
      </c>
      <c r="J160" s="2">
        <v>2.34</v>
      </c>
      <c r="K160" s="2">
        <v>203</v>
      </c>
      <c r="L160" s="2">
        <f t="shared" si="58"/>
        <v>56.548667764616276</v>
      </c>
      <c r="M160" s="2">
        <f>L160/O160/H160*100</f>
        <v>0.18849555921538758</v>
      </c>
      <c r="N160" s="2">
        <f>L160*K160</f>
        <v>11479.379556217104</v>
      </c>
      <c r="O160" s="2">
        <v>150</v>
      </c>
      <c r="P160" s="2">
        <f>IF(O160="-","-",O160/E160)</f>
        <v>0.68181818181818177</v>
      </c>
      <c r="Q160" s="2">
        <f>IF(O160="-",0,O160/E160)</f>
        <v>0.68181818181818177</v>
      </c>
      <c r="R160" s="2">
        <f t="shared" si="59"/>
        <v>1256.6370614359173</v>
      </c>
      <c r="S160" s="2">
        <f>R160/E160/H160*100</f>
        <v>2.8559933214452666</v>
      </c>
      <c r="T160" s="2">
        <v>570</v>
      </c>
      <c r="U160" s="2">
        <v>3550</v>
      </c>
      <c r="V160" s="2">
        <v>235</v>
      </c>
      <c r="W160" s="2">
        <f>AA160*2</f>
        <v>157.07963267948966</v>
      </c>
      <c r="X160" s="2">
        <f>W160/Z160/H160*100/SIN(AD160*PI()/180)</f>
        <v>0.49087385212340517</v>
      </c>
      <c r="Y160" s="2">
        <f>W160*V160*1000</f>
        <v>36913713.679680072</v>
      </c>
      <c r="Z160" s="2">
        <v>160</v>
      </c>
      <c r="AA160" s="2">
        <f>10^2/4*PI()</f>
        <v>78.539816339744831</v>
      </c>
      <c r="AB160" s="2">
        <f>Z160/E160</f>
        <v>0.72727272727272729</v>
      </c>
      <c r="AC160" s="2">
        <v>1</v>
      </c>
      <c r="AD160" s="2">
        <v>90</v>
      </c>
      <c r="AE160" s="2">
        <v>165.4</v>
      </c>
    </row>
    <row r="161" spans="1:31" x14ac:dyDescent="0.3">
      <c r="A161" s="2" t="s">
        <v>89</v>
      </c>
      <c r="B161" s="2" t="s">
        <v>98</v>
      </c>
      <c r="C161" s="2" t="s">
        <v>121</v>
      </c>
      <c r="D161" s="2">
        <v>36.4</v>
      </c>
      <c r="E161" s="2">
        <v>220</v>
      </c>
      <c r="F161" s="2">
        <v>250</v>
      </c>
      <c r="G161" s="2">
        <v>0</v>
      </c>
      <c r="H161" s="2">
        <v>200</v>
      </c>
      <c r="I161" s="2">
        <f t="shared" si="57"/>
        <v>200</v>
      </c>
      <c r="J161" s="2">
        <v>2.34</v>
      </c>
      <c r="K161" s="2">
        <v>203</v>
      </c>
      <c r="L161" s="2">
        <f t="shared" si="58"/>
        <v>56.548667764616276</v>
      </c>
      <c r="M161" s="2">
        <f>L161/O161/H161*100</f>
        <v>0.18849555921538758</v>
      </c>
      <c r="N161" s="2">
        <f>L161*K161</f>
        <v>11479.379556217104</v>
      </c>
      <c r="O161" s="2">
        <v>150</v>
      </c>
      <c r="P161" s="2">
        <f>IF(O161="-","-",O161/E161)</f>
        <v>0.68181818181818177</v>
      </c>
      <c r="Q161" s="2">
        <f>IF(O161="-",0,O161/E161)</f>
        <v>0.68181818181818177</v>
      </c>
      <c r="R161" s="2">
        <f t="shared" si="59"/>
        <v>1256.6370614359173</v>
      </c>
      <c r="S161" s="2">
        <f>R161/E161/H161*100</f>
        <v>2.8559933214452666</v>
      </c>
      <c r="T161" s="2">
        <v>570</v>
      </c>
      <c r="U161" s="2">
        <v>3550</v>
      </c>
      <c r="V161" s="2">
        <v>235</v>
      </c>
      <c r="W161" s="2">
        <f>AA161*2</f>
        <v>157.07963267948966</v>
      </c>
      <c r="X161" s="2">
        <f>W161/Z161/H161*100/SIN(AD161*PI()/180)</f>
        <v>0.46280030605816319</v>
      </c>
      <c r="Y161" s="2">
        <f>W161*V161*1000</f>
        <v>36913713.679680072</v>
      </c>
      <c r="Z161" s="2">
        <v>240</v>
      </c>
      <c r="AA161" s="2">
        <f>10^2/4*PI()</f>
        <v>78.539816339744831</v>
      </c>
      <c r="AB161" s="2">
        <f>Z161/E161</f>
        <v>1.0909090909090908</v>
      </c>
      <c r="AC161" s="2">
        <v>1</v>
      </c>
      <c r="AD161" s="2">
        <v>45</v>
      </c>
      <c r="AE161" s="2">
        <v>171.85</v>
      </c>
    </row>
    <row r="162" spans="1:31" x14ac:dyDescent="0.3">
      <c r="A162" s="2" t="s">
        <v>89</v>
      </c>
      <c r="B162" s="2" t="s">
        <v>98</v>
      </c>
      <c r="C162" s="2" t="s">
        <v>122</v>
      </c>
      <c r="D162" s="2">
        <v>36.4</v>
      </c>
      <c r="E162" s="2">
        <v>220</v>
      </c>
      <c r="F162" s="2">
        <v>250</v>
      </c>
      <c r="G162" s="2">
        <v>0</v>
      </c>
      <c r="H162" s="2">
        <v>200</v>
      </c>
      <c r="I162" s="2">
        <f t="shared" si="57"/>
        <v>200</v>
      </c>
      <c r="J162" s="2">
        <v>2.34</v>
      </c>
      <c r="K162" s="2">
        <v>203</v>
      </c>
      <c r="L162" s="2">
        <f t="shared" si="58"/>
        <v>56.548667764616276</v>
      </c>
      <c r="M162" s="2">
        <f>L162/O162/H162*100</f>
        <v>0.18849555921538758</v>
      </c>
      <c r="N162" s="2">
        <f>L162*K162</f>
        <v>11479.379556217104</v>
      </c>
      <c r="O162" s="2">
        <v>150</v>
      </c>
      <c r="P162" s="2">
        <f>IF(O162="-","-",O162/E162)</f>
        <v>0.68181818181818177</v>
      </c>
      <c r="Q162" s="2">
        <f>IF(O162="-",0,O162/E162)</f>
        <v>0.68181818181818177</v>
      </c>
      <c r="R162" s="2">
        <f t="shared" si="59"/>
        <v>1256.6370614359173</v>
      </c>
      <c r="S162" s="2">
        <f>R162/E162/H162*100</f>
        <v>2.8559933214452666</v>
      </c>
      <c r="T162" s="2">
        <v>570</v>
      </c>
      <c r="U162" s="2">
        <v>3550</v>
      </c>
      <c r="V162" s="2">
        <v>235</v>
      </c>
      <c r="W162" s="2">
        <f>AA162*2</f>
        <v>157.07963267948966</v>
      </c>
      <c r="X162" s="2">
        <f>W162/Z162/H162*100/SIN(AD162*PI()/180)</f>
        <v>0.49087385212340517</v>
      </c>
      <c r="Y162" s="2">
        <f>W162*V162*1000</f>
        <v>36913713.679680072</v>
      </c>
      <c r="Z162" s="2">
        <v>160</v>
      </c>
      <c r="AA162" s="2">
        <f>10^2/4*PI()</f>
        <v>78.539816339744831</v>
      </c>
      <c r="AB162" s="2">
        <f>Z162/E162</f>
        <v>0.72727272727272729</v>
      </c>
      <c r="AC162" s="2">
        <v>1</v>
      </c>
      <c r="AD162" s="2">
        <v>90</v>
      </c>
      <c r="AE162" s="2">
        <v>185.9</v>
      </c>
    </row>
    <row r="163" spans="1:31" x14ac:dyDescent="0.3">
      <c r="A163" s="2" t="s">
        <v>89</v>
      </c>
      <c r="B163" s="2" t="s">
        <v>98</v>
      </c>
      <c r="C163" s="2" t="s">
        <v>123</v>
      </c>
      <c r="D163" s="2">
        <v>36.4</v>
      </c>
      <c r="E163" s="2">
        <v>220</v>
      </c>
      <c r="F163" s="2">
        <v>250</v>
      </c>
      <c r="G163" s="2">
        <v>0</v>
      </c>
      <c r="H163" s="2">
        <v>200</v>
      </c>
      <c r="I163" s="2">
        <f t="shared" si="57"/>
        <v>200</v>
      </c>
      <c r="J163" s="2">
        <v>2.34</v>
      </c>
      <c r="K163" s="2">
        <v>203</v>
      </c>
      <c r="L163" s="2">
        <f t="shared" si="58"/>
        <v>56.548667764616276</v>
      </c>
      <c r="M163" s="2">
        <f>L163/O163/H163*100</f>
        <v>0.18849555921538758</v>
      </c>
      <c r="N163" s="2">
        <f>L163*K163</f>
        <v>11479.379556217104</v>
      </c>
      <c r="O163" s="2">
        <v>150</v>
      </c>
      <c r="P163" s="2">
        <f>IF(O163="-","-",O163/E163)</f>
        <v>0.68181818181818177</v>
      </c>
      <c r="Q163" s="2">
        <f>IF(O163="-",0,O163/E163)</f>
        <v>0.68181818181818177</v>
      </c>
      <c r="R163" s="2">
        <f t="shared" si="59"/>
        <v>1256.6370614359173</v>
      </c>
      <c r="S163" s="2">
        <f>R163/E163/H163*100</f>
        <v>2.8559933214452666</v>
      </c>
      <c r="T163" s="2">
        <v>570</v>
      </c>
      <c r="U163" s="2">
        <v>3550</v>
      </c>
      <c r="V163" s="2">
        <v>235</v>
      </c>
      <c r="W163" s="2">
        <f>AA163*2</f>
        <v>157.07963267948966</v>
      </c>
      <c r="X163" s="2">
        <f>W163/Z163/H163*100/SIN(AD163*PI()/180)</f>
        <v>0.46280030605816319</v>
      </c>
      <c r="Y163" s="2">
        <f>W163*V163*1000</f>
        <v>36913713.679680072</v>
      </c>
      <c r="Z163" s="2">
        <v>240</v>
      </c>
      <c r="AA163" s="2">
        <f>10^2/4*PI()</f>
        <v>78.539816339744831</v>
      </c>
      <c r="AB163" s="2">
        <f>Z163/E163</f>
        <v>1.0909090909090908</v>
      </c>
      <c r="AC163" s="2">
        <v>1</v>
      </c>
      <c r="AD163" s="2">
        <v>45</v>
      </c>
      <c r="AE163" s="2">
        <v>195.8</v>
      </c>
    </row>
    <row r="164" spans="1:31" x14ac:dyDescent="0.3">
      <c r="A164" s="2" t="s">
        <v>89</v>
      </c>
      <c r="B164" s="2" t="s">
        <v>98</v>
      </c>
      <c r="C164" s="2" t="s">
        <v>124</v>
      </c>
      <c r="D164" s="2">
        <v>36.4</v>
      </c>
      <c r="E164" s="2">
        <v>220</v>
      </c>
      <c r="F164" s="2">
        <v>250</v>
      </c>
      <c r="G164" s="2">
        <v>0</v>
      </c>
      <c r="H164" s="2">
        <v>200</v>
      </c>
      <c r="I164" s="2">
        <f t="shared" si="57"/>
        <v>200</v>
      </c>
      <c r="J164" s="2">
        <v>2.34</v>
      </c>
      <c r="K164" s="2">
        <v>203</v>
      </c>
      <c r="L164" s="2">
        <f t="shared" si="58"/>
        <v>56.548667764616276</v>
      </c>
      <c r="M164" s="2">
        <f>L164/O164/H164*100</f>
        <v>0.18849555921538758</v>
      </c>
      <c r="N164" s="2">
        <f>L164*K164</f>
        <v>11479.379556217104</v>
      </c>
      <c r="O164" s="2">
        <v>150</v>
      </c>
      <c r="P164" s="2">
        <f>IF(O164="-","-",O164/E164)</f>
        <v>0.68181818181818177</v>
      </c>
      <c r="Q164" s="2">
        <f>IF(O164="-",0,O164/E164)</f>
        <v>0.68181818181818177</v>
      </c>
      <c r="R164" s="2">
        <f t="shared" si="59"/>
        <v>1256.6370614359173</v>
      </c>
      <c r="S164" s="2">
        <f>R164/E164/H164*100</f>
        <v>2.8559933214452666</v>
      </c>
      <c r="T164" s="2">
        <v>570</v>
      </c>
      <c r="U164" s="2">
        <v>3550</v>
      </c>
      <c r="V164" s="2">
        <v>235</v>
      </c>
      <c r="W164" s="2">
        <f>AA164*2</f>
        <v>157.07963267948966</v>
      </c>
      <c r="X164" s="2">
        <f>W164/Z164/H164*100/SIN(AD164*PI()/180)</f>
        <v>0.49087385212340517</v>
      </c>
      <c r="Y164" s="2">
        <f>W164*V164*1000</f>
        <v>36913713.679680072</v>
      </c>
      <c r="Z164" s="2">
        <v>160</v>
      </c>
      <c r="AA164" s="2">
        <f>10^2/4*PI()</f>
        <v>78.539816339744831</v>
      </c>
      <c r="AB164" s="2">
        <f>Z164/E164</f>
        <v>0.72727272727272729</v>
      </c>
      <c r="AC164" s="2">
        <v>1</v>
      </c>
      <c r="AD164" s="2">
        <v>90</v>
      </c>
      <c r="AE164" s="2">
        <v>161.35</v>
      </c>
    </row>
    <row r="165" spans="1:31" x14ac:dyDescent="0.3">
      <c r="A165" s="2" t="s">
        <v>315</v>
      </c>
      <c r="B165" s="2"/>
      <c r="C165" s="2" t="s">
        <v>1</v>
      </c>
      <c r="D165" s="2">
        <v>32</v>
      </c>
      <c r="E165" s="2">
        <v>360</v>
      </c>
      <c r="F165" s="2">
        <v>405</v>
      </c>
      <c r="G165" s="2">
        <v>100</v>
      </c>
      <c r="H165" s="2">
        <v>150</v>
      </c>
      <c r="I165" s="2">
        <v>380</v>
      </c>
      <c r="J165" s="2">
        <v>3</v>
      </c>
      <c r="K165" s="2" t="s">
        <v>210</v>
      </c>
      <c r="L165" s="2" t="s">
        <v>210</v>
      </c>
      <c r="M165" s="2" t="s">
        <v>210</v>
      </c>
      <c r="N165" s="2">
        <v>0</v>
      </c>
      <c r="O165" s="2" t="s">
        <v>210</v>
      </c>
      <c r="P165" s="2" t="s">
        <v>210</v>
      </c>
      <c r="Q165" s="2">
        <v>5</v>
      </c>
      <c r="R165" s="2">
        <v>1232</v>
      </c>
      <c r="S165" s="2">
        <f>R165/E165/H165*100</f>
        <v>2.2814814814814812</v>
      </c>
      <c r="T165" s="2">
        <v>430</v>
      </c>
      <c r="U165" s="2" t="s">
        <v>210</v>
      </c>
      <c r="V165" s="2" t="s">
        <v>210</v>
      </c>
      <c r="W165" s="2">
        <v>0</v>
      </c>
      <c r="X165" s="2">
        <v>0</v>
      </c>
      <c r="Y165" s="2">
        <v>0</v>
      </c>
      <c r="Z165" s="2" t="s">
        <v>210</v>
      </c>
      <c r="AA165" s="2" t="s">
        <v>210</v>
      </c>
      <c r="AB165" s="2">
        <v>5</v>
      </c>
      <c r="AC165" s="2">
        <v>1</v>
      </c>
      <c r="AD165" s="2">
        <v>90</v>
      </c>
      <c r="AE165" s="2">
        <v>88.5</v>
      </c>
    </row>
    <row r="166" spans="1:31" x14ac:dyDescent="0.3">
      <c r="A166" s="2" t="s">
        <v>315</v>
      </c>
      <c r="B166" s="2"/>
      <c r="C166" s="2" t="s">
        <v>2</v>
      </c>
      <c r="D166" s="2">
        <v>32</v>
      </c>
      <c r="E166" s="2">
        <v>360</v>
      </c>
      <c r="F166" s="2">
        <v>405</v>
      </c>
      <c r="G166" s="2">
        <v>100</v>
      </c>
      <c r="H166" s="2">
        <v>150</v>
      </c>
      <c r="I166" s="2">
        <v>380</v>
      </c>
      <c r="J166" s="2">
        <v>3</v>
      </c>
      <c r="K166" s="2" t="s">
        <v>210</v>
      </c>
      <c r="L166" s="2" t="s">
        <v>210</v>
      </c>
      <c r="M166" s="2" t="s">
        <v>210</v>
      </c>
      <c r="N166" s="2">
        <v>0</v>
      </c>
      <c r="O166" s="2" t="s">
        <v>210</v>
      </c>
      <c r="P166" s="2" t="s">
        <v>210</v>
      </c>
      <c r="Q166" s="2">
        <v>5</v>
      </c>
      <c r="R166" s="2">
        <v>1232</v>
      </c>
      <c r="S166" s="2">
        <f>R166/E166/H166*100</f>
        <v>2.2814814814814812</v>
      </c>
      <c r="T166" s="2">
        <v>430</v>
      </c>
      <c r="U166" s="2">
        <v>1900</v>
      </c>
      <c r="V166" s="2">
        <v>105</v>
      </c>
      <c r="W166" s="2">
        <f>PI()*10^2/2</f>
        <v>157.07963267948966</v>
      </c>
      <c r="X166" s="2">
        <f>W166/Z166/H166*100/SIN(AD166*PI()/180)</f>
        <v>0.59839860068377015</v>
      </c>
      <c r="Y166" s="2">
        <f>W166*V166*1000</f>
        <v>16493361.431346413</v>
      </c>
      <c r="Z166" s="2">
        <v>175</v>
      </c>
      <c r="AA166" s="2"/>
      <c r="AB166" s="2">
        <f>Z166/E166</f>
        <v>0.4861111111111111</v>
      </c>
      <c r="AC166" s="2">
        <v>1</v>
      </c>
      <c r="AD166" s="2">
        <v>90</v>
      </c>
      <c r="AE166" s="2">
        <v>115</v>
      </c>
    </row>
    <row r="167" spans="1:31" x14ac:dyDescent="0.3">
      <c r="A167" s="2" t="s">
        <v>315</v>
      </c>
      <c r="B167" s="2"/>
      <c r="C167" s="2" t="s">
        <v>3</v>
      </c>
      <c r="D167" s="2">
        <v>32</v>
      </c>
      <c r="E167" s="2">
        <v>360</v>
      </c>
      <c r="F167" s="2">
        <v>405</v>
      </c>
      <c r="G167" s="2">
        <v>100</v>
      </c>
      <c r="H167" s="2">
        <v>150</v>
      </c>
      <c r="I167" s="2">
        <v>380</v>
      </c>
      <c r="J167" s="2">
        <v>3</v>
      </c>
      <c r="K167" s="2" t="s">
        <v>210</v>
      </c>
      <c r="L167" s="2" t="s">
        <v>210</v>
      </c>
      <c r="M167" s="2" t="s">
        <v>210</v>
      </c>
      <c r="N167" s="2">
        <v>0</v>
      </c>
      <c r="O167" s="2" t="s">
        <v>210</v>
      </c>
      <c r="P167" s="2" t="s">
        <v>210</v>
      </c>
      <c r="Q167" s="2">
        <v>5</v>
      </c>
      <c r="R167" s="2">
        <v>1232</v>
      </c>
      <c r="S167" s="2">
        <f>R167/E167/H167*100</f>
        <v>2.2814814814814812</v>
      </c>
      <c r="T167" s="2">
        <v>430</v>
      </c>
      <c r="U167" s="2">
        <v>1900</v>
      </c>
      <c r="V167" s="2">
        <v>105</v>
      </c>
      <c r="W167" s="2">
        <f>PI()*10^2/2</f>
        <v>157.07963267948966</v>
      </c>
      <c r="X167" s="2">
        <f>W167/Z167/H167*100/SIN(AD167*PI()/180)</f>
        <v>0.83775804095727813</v>
      </c>
      <c r="Y167" s="2">
        <f>W167*V167*1000</f>
        <v>16493361.431346413</v>
      </c>
      <c r="Z167" s="2">
        <v>125</v>
      </c>
      <c r="AA167" s="2"/>
      <c r="AB167" s="2">
        <f>Z167/E167</f>
        <v>0.34722222222222221</v>
      </c>
      <c r="AC167" s="2">
        <v>1</v>
      </c>
      <c r="AD167" s="2">
        <v>90</v>
      </c>
      <c r="AE167" s="2">
        <v>127.5</v>
      </c>
    </row>
    <row r="168" spans="1:31" x14ac:dyDescent="0.3">
      <c r="A168" s="2" t="s">
        <v>88</v>
      </c>
      <c r="B168" s="2" t="s">
        <v>95</v>
      </c>
      <c r="C168" s="2" t="s">
        <v>286</v>
      </c>
      <c r="D168" s="2">
        <v>39.5</v>
      </c>
      <c r="E168" s="2">
        <v>316</v>
      </c>
      <c r="F168" s="2">
        <v>360</v>
      </c>
      <c r="G168" s="2">
        <v>60</v>
      </c>
      <c r="H168" s="2">
        <v>150</v>
      </c>
      <c r="I168" s="2">
        <v>286</v>
      </c>
      <c r="J168" s="2">
        <v>2.54</v>
      </c>
      <c r="K168" s="2">
        <f>N168/L168</f>
        <v>339.53054526271006</v>
      </c>
      <c r="L168" s="2">
        <f t="shared" ref="L168:L176" si="60">2*PI()*6^2/4</f>
        <v>56.548667764616276</v>
      </c>
      <c r="M168" s="2">
        <f>L168/O168/H168*100</f>
        <v>0.18849555921538758</v>
      </c>
      <c r="N168" s="2">
        <v>19200</v>
      </c>
      <c r="O168" s="2">
        <v>200</v>
      </c>
      <c r="P168" s="2">
        <f>IF(O168="-","-",O168/E168)</f>
        <v>0.63291139240506333</v>
      </c>
      <c r="Q168" s="2">
        <f>IF(O168="-",0,O168/E168)</f>
        <v>0.63291139240506333</v>
      </c>
      <c r="R168" s="2">
        <v>1256</v>
      </c>
      <c r="S168" s="2">
        <f>R168/E168/H168*100</f>
        <v>2.649789029535865</v>
      </c>
      <c r="T168" s="2">
        <v>340</v>
      </c>
      <c r="U168" s="2" t="s">
        <v>210</v>
      </c>
      <c r="V168" s="2" t="s">
        <v>210</v>
      </c>
      <c r="W168" s="2">
        <v>0</v>
      </c>
      <c r="X168" s="2">
        <v>0</v>
      </c>
      <c r="Y168" s="2">
        <v>0</v>
      </c>
      <c r="Z168" s="2" t="s">
        <v>210</v>
      </c>
      <c r="AA168" s="2" t="s">
        <v>210</v>
      </c>
      <c r="AB168" s="2">
        <v>5</v>
      </c>
      <c r="AC168" s="2">
        <v>1</v>
      </c>
      <c r="AD168" s="2">
        <v>90</v>
      </c>
      <c r="AE168" s="2">
        <v>112</v>
      </c>
    </row>
    <row r="169" spans="1:31" x14ac:dyDescent="0.3">
      <c r="A169" s="2" t="s">
        <v>88</v>
      </c>
      <c r="B169" s="2" t="s">
        <v>95</v>
      </c>
      <c r="C169" s="2" t="s">
        <v>100</v>
      </c>
      <c r="D169" s="2">
        <v>39</v>
      </c>
      <c r="E169" s="2">
        <v>316</v>
      </c>
      <c r="F169" s="2">
        <v>360</v>
      </c>
      <c r="G169" s="2">
        <v>60</v>
      </c>
      <c r="H169" s="2">
        <v>150</v>
      </c>
      <c r="I169" s="2">
        <v>286</v>
      </c>
      <c r="J169" s="2">
        <v>2.54</v>
      </c>
      <c r="K169" s="2">
        <f>N169/L169</f>
        <v>339.53054526271006</v>
      </c>
      <c r="L169" s="2">
        <f t="shared" si="60"/>
        <v>56.548667764616276</v>
      </c>
      <c r="M169" s="2">
        <f>L169/O169/H169*100</f>
        <v>0.18849555921538758</v>
      </c>
      <c r="N169" s="2">
        <v>19200</v>
      </c>
      <c r="O169" s="2">
        <v>200</v>
      </c>
      <c r="P169" s="2">
        <f>IF(O169="-","-",O169/E169)</f>
        <v>0.63291139240506333</v>
      </c>
      <c r="Q169" s="2">
        <f>IF(O169="-",0,O169/E169)</f>
        <v>0.63291139240506333</v>
      </c>
      <c r="R169" s="2">
        <v>1256</v>
      </c>
      <c r="S169" s="2">
        <f>R169/E169/H169*100</f>
        <v>2.649789029535865</v>
      </c>
      <c r="T169" s="2">
        <v>340</v>
      </c>
      <c r="U169" s="2">
        <v>2924</v>
      </c>
      <c r="V169" s="2">
        <v>170</v>
      </c>
      <c r="W169" s="2">
        <f t="shared" ref="W169:W176" si="61">AA169*2</f>
        <v>42</v>
      </c>
      <c r="X169" s="2">
        <f>W169/Z169/H169*100/SIN(AD169*PI()/180)</f>
        <v>0.18856180831641273</v>
      </c>
      <c r="Y169" s="2">
        <f t="shared" ref="Y169:Y176" si="62">W169*V169*1000</f>
        <v>7140000</v>
      </c>
      <c r="Z169" s="2">
        <v>210</v>
      </c>
      <c r="AA169" s="2">
        <f>15*1.4</f>
        <v>21</v>
      </c>
      <c r="AB169" s="2">
        <f>Z169/E169</f>
        <v>0.66455696202531644</v>
      </c>
      <c r="AC169" s="2">
        <f>15/1.4</f>
        <v>10.714285714285715</v>
      </c>
      <c r="AD169" s="2">
        <v>45</v>
      </c>
      <c r="AE169" s="2">
        <v>208.3</v>
      </c>
    </row>
    <row r="170" spans="1:31" x14ac:dyDescent="0.3">
      <c r="A170" s="2" t="s">
        <v>316</v>
      </c>
      <c r="B170" s="2" t="s">
        <v>95</v>
      </c>
      <c r="C170" s="2" t="s">
        <v>16</v>
      </c>
      <c r="D170" s="2">
        <v>39</v>
      </c>
      <c r="E170" s="2">
        <v>316</v>
      </c>
      <c r="F170" s="2">
        <v>360</v>
      </c>
      <c r="G170" s="2">
        <v>60</v>
      </c>
      <c r="H170" s="2">
        <v>150</v>
      </c>
      <c r="I170" s="2">
        <v>286</v>
      </c>
      <c r="J170" s="2">
        <v>2.54</v>
      </c>
      <c r="K170" s="2">
        <f>N170/L170</f>
        <v>339.53054526271006</v>
      </c>
      <c r="L170" s="2">
        <f t="shared" si="60"/>
        <v>56.548667764616276</v>
      </c>
      <c r="M170" s="2">
        <f>L170/O170/H170*100</f>
        <v>0.18849555921538758</v>
      </c>
      <c r="N170" s="2">
        <v>19200</v>
      </c>
      <c r="O170" s="2">
        <v>200</v>
      </c>
      <c r="P170" s="2">
        <f>IF(O170="-","-",IF(N170=0,"-",O170/E170))</f>
        <v>0.63291139240506333</v>
      </c>
      <c r="Q170" s="2">
        <f>IF(O170="-",0,O170/E170)</f>
        <v>0.63291139240506333</v>
      </c>
      <c r="R170" s="2">
        <v>1256</v>
      </c>
      <c r="S170" s="2">
        <f>R170/E170/H170*100</f>
        <v>2.649789029535865</v>
      </c>
      <c r="T170" s="2">
        <v>340</v>
      </c>
      <c r="U170" s="2">
        <v>2924</v>
      </c>
      <c r="V170" s="2">
        <v>163</v>
      </c>
      <c r="W170" s="2">
        <f t="shared" si="61"/>
        <v>72</v>
      </c>
      <c r="X170" s="2">
        <f>W170/Z170/H170*100/SIN(AD170*PI()/180)</f>
        <v>0.18856180831641273</v>
      </c>
      <c r="Y170" s="2">
        <f t="shared" si="62"/>
        <v>11736000</v>
      </c>
      <c r="Z170" s="2">
        <v>360</v>
      </c>
      <c r="AA170" s="2">
        <f>15*2.4</f>
        <v>36</v>
      </c>
      <c r="AB170" s="2">
        <f>Z170/E170</f>
        <v>1.139240506329114</v>
      </c>
      <c r="AC170" s="2">
        <f>15/2.4</f>
        <v>6.25</v>
      </c>
      <c r="AD170" s="2">
        <v>45</v>
      </c>
      <c r="AE170" s="2">
        <v>176.6</v>
      </c>
    </row>
    <row r="171" spans="1:31" x14ac:dyDescent="0.3">
      <c r="A171" s="2" t="s">
        <v>88</v>
      </c>
      <c r="B171" s="2" t="s">
        <v>95</v>
      </c>
      <c r="C171" s="2" t="s">
        <v>17</v>
      </c>
      <c r="D171" s="2">
        <v>38.5</v>
      </c>
      <c r="E171" s="2">
        <v>316</v>
      </c>
      <c r="F171" s="2">
        <v>360</v>
      </c>
      <c r="G171" s="2">
        <v>60</v>
      </c>
      <c r="H171" s="2">
        <v>150</v>
      </c>
      <c r="I171" s="2">
        <v>286</v>
      </c>
      <c r="J171" s="2">
        <v>2.54</v>
      </c>
      <c r="K171" s="2">
        <f>N171/L171</f>
        <v>339.53054526271006</v>
      </c>
      <c r="L171" s="2">
        <f t="shared" si="60"/>
        <v>56.548667764616276</v>
      </c>
      <c r="M171" s="2">
        <f>L171/O171/H171*100</f>
        <v>0.18849555921538758</v>
      </c>
      <c r="N171" s="2">
        <v>19200</v>
      </c>
      <c r="O171" s="2">
        <v>200</v>
      </c>
      <c r="P171" s="2">
        <f>IF(O171="-","-",O171/E171)</f>
        <v>0.63291139240506333</v>
      </c>
      <c r="Q171" s="2">
        <f>IF(O171="-",0,O171/E171)</f>
        <v>0.63291139240506333</v>
      </c>
      <c r="R171" s="2">
        <v>1256</v>
      </c>
      <c r="S171" s="2">
        <f>R171/E171/H171*100</f>
        <v>2.649789029535865</v>
      </c>
      <c r="T171" s="2">
        <v>340</v>
      </c>
      <c r="U171" s="2">
        <v>2924</v>
      </c>
      <c r="V171" s="2">
        <v>163</v>
      </c>
      <c r="W171" s="2">
        <f t="shared" si="61"/>
        <v>72</v>
      </c>
      <c r="X171" s="2">
        <f>W171/Z171/H171*100/SIN(AD171*PI()/180)</f>
        <v>0.32324881425670748</v>
      </c>
      <c r="Y171" s="2">
        <f t="shared" si="62"/>
        <v>11736000</v>
      </c>
      <c r="Z171" s="2">
        <v>210</v>
      </c>
      <c r="AA171" s="2">
        <f>15*2.4</f>
        <v>36</v>
      </c>
      <c r="AB171" s="2">
        <f>Z171/E171</f>
        <v>0.66455696202531644</v>
      </c>
      <c r="AC171" s="2">
        <f>15/2.4</f>
        <v>6.25</v>
      </c>
      <c r="AD171" s="2">
        <v>45</v>
      </c>
      <c r="AE171" s="2">
        <v>212.6</v>
      </c>
    </row>
    <row r="172" spans="1:31" x14ac:dyDescent="0.3">
      <c r="A172" s="2" t="s">
        <v>88</v>
      </c>
      <c r="B172" s="2" t="s">
        <v>95</v>
      </c>
      <c r="C172" s="2" t="s">
        <v>101</v>
      </c>
      <c r="D172" s="2">
        <v>38.5</v>
      </c>
      <c r="E172" s="2">
        <v>316</v>
      </c>
      <c r="F172" s="2">
        <v>360</v>
      </c>
      <c r="G172" s="2">
        <v>60</v>
      </c>
      <c r="H172" s="2">
        <v>150</v>
      </c>
      <c r="I172" s="2">
        <v>286</v>
      </c>
      <c r="J172" s="2">
        <v>2.54</v>
      </c>
      <c r="K172" s="2">
        <f>N172/L172</f>
        <v>339.53054526271006</v>
      </c>
      <c r="L172" s="2">
        <f t="shared" si="60"/>
        <v>56.548667764616276</v>
      </c>
      <c r="M172" s="2">
        <f>L172/O172/H172*100</f>
        <v>0.18849555921538758</v>
      </c>
      <c r="N172" s="2">
        <v>19200</v>
      </c>
      <c r="O172" s="2">
        <v>200</v>
      </c>
      <c r="P172" s="2">
        <f>IF(O172="-","-",O172/E172)</f>
        <v>0.63291139240506333</v>
      </c>
      <c r="Q172" s="2">
        <f>IF(O172="-",0,O172/E172)</f>
        <v>0.63291139240506333</v>
      </c>
      <c r="R172" s="2">
        <v>1257</v>
      </c>
      <c r="S172" s="2">
        <f>R172/E172/H172*100</f>
        <v>2.6518987341772151</v>
      </c>
      <c r="T172" s="2">
        <v>340</v>
      </c>
      <c r="U172" s="2">
        <v>2924</v>
      </c>
      <c r="V172" s="2">
        <v>170</v>
      </c>
      <c r="W172" s="2">
        <f t="shared" si="61"/>
        <v>42</v>
      </c>
      <c r="X172" s="2">
        <f>W172/Z172/H172*100/SIN(AD172*PI()/180)</f>
        <v>0.32998316455372217</v>
      </c>
      <c r="Y172" s="2">
        <f t="shared" si="62"/>
        <v>7140000</v>
      </c>
      <c r="Z172" s="2">
        <v>120</v>
      </c>
      <c r="AA172" s="2">
        <f>15*1.4</f>
        <v>21</v>
      </c>
      <c r="AB172" s="2">
        <f>Z172/E172</f>
        <v>0.379746835443038</v>
      </c>
      <c r="AC172" s="2">
        <f>15/1.4</f>
        <v>10.714285714285715</v>
      </c>
      <c r="AD172" s="2">
        <v>45</v>
      </c>
      <c r="AE172" s="2">
        <v>234.1</v>
      </c>
    </row>
    <row r="173" spans="1:31" x14ac:dyDescent="0.3">
      <c r="A173" s="2" t="s">
        <v>88</v>
      </c>
      <c r="B173" s="2" t="s">
        <v>95</v>
      </c>
      <c r="C173" s="2" t="s">
        <v>102</v>
      </c>
      <c r="D173" s="2">
        <v>40</v>
      </c>
      <c r="E173" s="2">
        <v>316</v>
      </c>
      <c r="F173" s="2">
        <v>360</v>
      </c>
      <c r="G173" s="2">
        <v>60</v>
      </c>
      <c r="H173" s="2">
        <v>150</v>
      </c>
      <c r="I173" s="2">
        <v>286</v>
      </c>
      <c r="J173" s="2">
        <v>2.54</v>
      </c>
      <c r="K173" s="2">
        <f>N173/L173</f>
        <v>339.53054526271006</v>
      </c>
      <c r="L173" s="2">
        <f t="shared" si="60"/>
        <v>56.548667764616276</v>
      </c>
      <c r="M173" s="2">
        <f>L173/O173/H173*100</f>
        <v>0.18849555921538758</v>
      </c>
      <c r="N173" s="2">
        <v>19200</v>
      </c>
      <c r="O173" s="2">
        <v>200</v>
      </c>
      <c r="P173" s="2">
        <f>IF(O173="-","-",O173/E173)</f>
        <v>0.63291139240506333</v>
      </c>
      <c r="Q173" s="2">
        <f>IF(O173="-",0,O173/E173)</f>
        <v>0.63291139240506333</v>
      </c>
      <c r="R173" s="2">
        <v>1257</v>
      </c>
      <c r="S173" s="2">
        <f>R173/E173/H173*100</f>
        <v>2.6518987341772151</v>
      </c>
      <c r="T173" s="2">
        <v>340</v>
      </c>
      <c r="U173" s="2">
        <v>2924</v>
      </c>
      <c r="V173" s="2">
        <v>170</v>
      </c>
      <c r="W173" s="2">
        <f t="shared" si="61"/>
        <v>42</v>
      </c>
      <c r="X173" s="2">
        <f>W173/Z173/H173*100/SIN(AD173*PI()/180)</f>
        <v>0.49497474683058335</v>
      </c>
      <c r="Y173" s="2">
        <f t="shared" si="62"/>
        <v>7140000</v>
      </c>
      <c r="Z173" s="2">
        <v>80</v>
      </c>
      <c r="AA173" s="2">
        <f>15*1.4</f>
        <v>21</v>
      </c>
      <c r="AB173" s="2">
        <f>Z173/E173</f>
        <v>0.25316455696202533</v>
      </c>
      <c r="AC173" s="2">
        <f>15/1.4</f>
        <v>10.714285714285715</v>
      </c>
      <c r="AD173" s="2">
        <v>45</v>
      </c>
      <c r="AE173" s="2">
        <v>216.5</v>
      </c>
    </row>
    <row r="174" spans="1:31" x14ac:dyDescent="0.3">
      <c r="A174" s="2" t="s">
        <v>88</v>
      </c>
      <c r="B174" s="2" t="s">
        <v>95</v>
      </c>
      <c r="C174" s="2" t="s">
        <v>103</v>
      </c>
      <c r="D174" s="2">
        <v>40</v>
      </c>
      <c r="E174" s="2">
        <v>316</v>
      </c>
      <c r="F174" s="2">
        <v>360</v>
      </c>
      <c r="G174" s="2">
        <v>60</v>
      </c>
      <c r="H174" s="2">
        <v>150</v>
      </c>
      <c r="I174" s="2">
        <v>286</v>
      </c>
      <c r="J174" s="2">
        <v>2.54</v>
      </c>
      <c r="K174" s="2">
        <f>N174/L174</f>
        <v>339.53054526271006</v>
      </c>
      <c r="L174" s="2">
        <f t="shared" si="60"/>
        <v>56.548667764616276</v>
      </c>
      <c r="M174" s="2">
        <f>L174/O174/H174*100</f>
        <v>0.18849555921538758</v>
      </c>
      <c r="N174" s="2">
        <v>19200</v>
      </c>
      <c r="O174" s="2">
        <v>200</v>
      </c>
      <c r="P174" s="2">
        <f>IF(O174="-","-",O174/E174)</f>
        <v>0.63291139240506333</v>
      </c>
      <c r="Q174" s="2">
        <f>IF(O174="-",0,O174/E174)</f>
        <v>0.63291139240506333</v>
      </c>
      <c r="R174" s="2">
        <v>1257</v>
      </c>
      <c r="S174" s="2">
        <f>R174/E174/H174*100</f>
        <v>2.6518987341772151</v>
      </c>
      <c r="T174" s="2">
        <v>340</v>
      </c>
      <c r="U174" s="2">
        <v>2924</v>
      </c>
      <c r="V174" s="2">
        <v>163</v>
      </c>
      <c r="W174" s="2">
        <f t="shared" si="61"/>
        <v>72</v>
      </c>
      <c r="X174" s="2">
        <f>W174/Z174/H174*100/SIN(AD174*PI()/180)</f>
        <v>0.48487322138506123</v>
      </c>
      <c r="Y174" s="2">
        <f t="shared" si="62"/>
        <v>11736000</v>
      </c>
      <c r="Z174" s="2">
        <v>140</v>
      </c>
      <c r="AA174" s="2">
        <f>15*2.4</f>
        <v>36</v>
      </c>
      <c r="AB174" s="2">
        <f>Z174/E174</f>
        <v>0.44303797468354428</v>
      </c>
      <c r="AC174" s="2">
        <f>15/2.4</f>
        <v>6.25</v>
      </c>
      <c r="AD174" s="2">
        <v>45</v>
      </c>
      <c r="AE174" s="2">
        <v>216.5</v>
      </c>
    </row>
    <row r="175" spans="1:31" x14ac:dyDescent="0.3">
      <c r="A175" s="2" t="s">
        <v>88</v>
      </c>
      <c r="B175" s="2" t="s">
        <v>95</v>
      </c>
      <c r="C175" s="2" t="s">
        <v>104</v>
      </c>
      <c r="D175" s="2">
        <v>41.9</v>
      </c>
      <c r="E175" s="2">
        <v>316</v>
      </c>
      <c r="F175" s="2">
        <v>360</v>
      </c>
      <c r="G175" s="2">
        <v>60</v>
      </c>
      <c r="H175" s="2">
        <v>150</v>
      </c>
      <c r="I175" s="2">
        <v>286</v>
      </c>
      <c r="J175" s="2">
        <v>2.54</v>
      </c>
      <c r="K175" s="2">
        <f>N175/L175</f>
        <v>339.53054526271006</v>
      </c>
      <c r="L175" s="2">
        <f t="shared" si="60"/>
        <v>56.548667764616276</v>
      </c>
      <c r="M175" s="2">
        <f>L175/O175/H175*100</f>
        <v>0.18849555921538758</v>
      </c>
      <c r="N175" s="2">
        <v>19200</v>
      </c>
      <c r="O175" s="2">
        <v>200</v>
      </c>
      <c r="P175" s="2">
        <f>IF(O175="-","-",O175/E175)</f>
        <v>0.63291139240506333</v>
      </c>
      <c r="Q175" s="2">
        <f>IF(O175="-",0,O175/E175)</f>
        <v>0.63291139240506333</v>
      </c>
      <c r="R175" s="2">
        <v>1257</v>
      </c>
      <c r="S175" s="2">
        <f>R175/E175/H175*100</f>
        <v>2.6518987341772151</v>
      </c>
      <c r="T175" s="2">
        <v>340</v>
      </c>
      <c r="U175" s="2">
        <v>2924</v>
      </c>
      <c r="V175" s="2">
        <v>170</v>
      </c>
      <c r="W175" s="2">
        <f t="shared" si="61"/>
        <v>42</v>
      </c>
      <c r="X175" s="2">
        <f>W175/Z175/H175*100/SIN(AD175*PI()/180)</f>
        <v>0.32998316455372217</v>
      </c>
      <c r="Y175" s="2">
        <f t="shared" si="62"/>
        <v>7140000</v>
      </c>
      <c r="Z175" s="2">
        <v>120</v>
      </c>
      <c r="AA175" s="2">
        <f>15*1.4</f>
        <v>21</v>
      </c>
      <c r="AB175" s="2">
        <f>Z175/E175</f>
        <v>0.379746835443038</v>
      </c>
      <c r="AC175" s="2">
        <f>15/1.4</f>
        <v>10.714285714285715</v>
      </c>
      <c r="AD175" s="2">
        <v>45</v>
      </c>
      <c r="AE175" s="2">
        <v>220.9</v>
      </c>
    </row>
    <row r="176" spans="1:31" x14ac:dyDescent="0.3">
      <c r="A176" s="2" t="s">
        <v>88</v>
      </c>
      <c r="B176" s="2" t="s">
        <v>95</v>
      </c>
      <c r="C176" s="2" t="s">
        <v>105</v>
      </c>
      <c r="D176" s="2">
        <v>41.9</v>
      </c>
      <c r="E176" s="2">
        <v>316</v>
      </c>
      <c r="F176" s="2">
        <v>360</v>
      </c>
      <c r="G176" s="2">
        <v>60</v>
      </c>
      <c r="H176" s="2">
        <v>150</v>
      </c>
      <c r="I176" s="2">
        <v>286</v>
      </c>
      <c r="J176" s="2">
        <v>2.54</v>
      </c>
      <c r="K176" s="2">
        <f>N176/L176</f>
        <v>339.53054526271006</v>
      </c>
      <c r="L176" s="2">
        <f t="shared" si="60"/>
        <v>56.548667764616276</v>
      </c>
      <c r="M176" s="2">
        <f>L176/O176/H176*100</f>
        <v>0.18849555921538758</v>
      </c>
      <c r="N176" s="2">
        <v>19200</v>
      </c>
      <c r="O176" s="2">
        <v>200</v>
      </c>
      <c r="P176" s="2">
        <f>IF(O176="-","-",O176/E176)</f>
        <v>0.63291139240506333</v>
      </c>
      <c r="Q176" s="2">
        <f>IF(O176="-",0,O176/E176)</f>
        <v>0.63291139240506333</v>
      </c>
      <c r="R176" s="2">
        <v>1257</v>
      </c>
      <c r="S176" s="2">
        <f>R176/E176/H176*100</f>
        <v>2.6518987341772151</v>
      </c>
      <c r="T176" s="2">
        <v>340</v>
      </c>
      <c r="U176" s="2">
        <v>2924</v>
      </c>
      <c r="V176" s="2">
        <v>163</v>
      </c>
      <c r="W176" s="2">
        <f t="shared" si="61"/>
        <v>72</v>
      </c>
      <c r="X176" s="2">
        <f>W176/Z176/H176*100/SIN(AD176*PI()/180)</f>
        <v>0.48487322138506123</v>
      </c>
      <c r="Y176" s="2">
        <f t="shared" si="62"/>
        <v>11736000</v>
      </c>
      <c r="Z176" s="2">
        <v>140</v>
      </c>
      <c r="AA176" s="2">
        <f>15*2.4</f>
        <v>36</v>
      </c>
      <c r="AB176" s="2">
        <f>Z176/E176</f>
        <v>0.44303797468354428</v>
      </c>
      <c r="AC176" s="2">
        <f>15/2.4</f>
        <v>6.25</v>
      </c>
      <c r="AD176" s="2">
        <v>45</v>
      </c>
      <c r="AE176" s="2">
        <v>220.9</v>
      </c>
    </row>
    <row r="177" spans="1:31" x14ac:dyDescent="0.3">
      <c r="A177" s="2" t="s">
        <v>93</v>
      </c>
      <c r="B177" s="2" t="s">
        <v>98</v>
      </c>
      <c r="C177" s="2" t="s">
        <v>192</v>
      </c>
      <c r="D177" s="2">
        <v>52</v>
      </c>
      <c r="E177" s="2">
        <v>250</v>
      </c>
      <c r="F177" s="2">
        <v>300</v>
      </c>
      <c r="G177" s="2">
        <v>0</v>
      </c>
      <c r="H177" s="2">
        <v>150</v>
      </c>
      <c r="I177" s="2">
        <f>IF(G177=0,H177,"")</f>
        <v>150</v>
      </c>
      <c r="J177" s="2">
        <v>2.5</v>
      </c>
      <c r="K177" s="2" t="s">
        <v>210</v>
      </c>
      <c r="L177" s="2" t="s">
        <v>210</v>
      </c>
      <c r="M177" s="2" t="s">
        <v>210</v>
      </c>
      <c r="N177" s="2">
        <v>0</v>
      </c>
      <c r="O177" s="2" t="s">
        <v>210</v>
      </c>
      <c r="P177" s="2" t="s">
        <v>210</v>
      </c>
      <c r="Q177" s="2">
        <v>5</v>
      </c>
      <c r="R177" s="2">
        <f>IF(S177="-",0,S177*E177*H177/100)</f>
        <v>1380</v>
      </c>
      <c r="S177" s="2">
        <v>3.68</v>
      </c>
      <c r="T177" s="2">
        <v>400</v>
      </c>
      <c r="U177" s="2" t="s">
        <v>210</v>
      </c>
      <c r="V177" s="2" t="s">
        <v>210</v>
      </c>
      <c r="W177" s="2">
        <v>0</v>
      </c>
      <c r="X177" s="2">
        <v>0</v>
      </c>
      <c r="Y177" s="2">
        <v>0</v>
      </c>
      <c r="Z177" s="2" t="s">
        <v>210</v>
      </c>
      <c r="AA177" s="2" t="s">
        <v>210</v>
      </c>
      <c r="AB177" s="2">
        <v>5</v>
      </c>
      <c r="AC177" s="2">
        <v>1</v>
      </c>
      <c r="AD177" s="2">
        <v>90</v>
      </c>
      <c r="AE177" s="2">
        <v>92.560606060606062</v>
      </c>
    </row>
    <row r="178" spans="1:31" x14ac:dyDescent="0.3">
      <c r="A178" s="2" t="s">
        <v>93</v>
      </c>
      <c r="B178" s="2" t="s">
        <v>98</v>
      </c>
      <c r="C178" s="2" t="s">
        <v>156</v>
      </c>
      <c r="D178" s="2">
        <v>52</v>
      </c>
      <c r="E178" s="2">
        <v>250</v>
      </c>
      <c r="F178" s="2">
        <v>300</v>
      </c>
      <c r="G178" s="2">
        <v>0</v>
      </c>
      <c r="H178" s="2">
        <v>150</v>
      </c>
      <c r="I178" s="2">
        <f>IF(G178=0,H178,"")</f>
        <v>150</v>
      </c>
      <c r="J178" s="2">
        <v>2.5</v>
      </c>
      <c r="K178" s="2" t="s">
        <v>210</v>
      </c>
      <c r="L178" s="2" t="s">
        <v>210</v>
      </c>
      <c r="M178" s="2" t="s">
        <v>210</v>
      </c>
      <c r="N178" s="2">
        <v>0</v>
      </c>
      <c r="O178" s="2" t="s">
        <v>210</v>
      </c>
      <c r="P178" s="2" t="s">
        <v>210</v>
      </c>
      <c r="Q178" s="2">
        <v>5</v>
      </c>
      <c r="R178" s="2">
        <f>IF(S178="-",0,S178*E178*H178/100)</f>
        <v>1380</v>
      </c>
      <c r="S178" s="2">
        <v>3.68</v>
      </c>
      <c r="T178" s="2">
        <v>400</v>
      </c>
      <c r="U178" s="2">
        <v>2300</v>
      </c>
      <c r="V178" s="2">
        <v>150</v>
      </c>
      <c r="W178" s="2">
        <f>AA178*2</f>
        <v>56</v>
      </c>
      <c r="X178" s="2">
        <f>W178/Z178/H178*100/SIN(AD178*PI()/180)</f>
        <v>0.15886524822695036</v>
      </c>
      <c r="Y178" s="2">
        <f>W178*V178*1000</f>
        <v>8400000</v>
      </c>
      <c r="Z178" s="2">
        <v>235</v>
      </c>
      <c r="AA178" s="2">
        <f>20*1.4</f>
        <v>28</v>
      </c>
      <c r="AB178" s="2">
        <f>Z178/E178</f>
        <v>0.94</v>
      </c>
      <c r="AC178" s="2">
        <f>20/1.4</f>
        <v>14.285714285714286</v>
      </c>
      <c r="AD178" s="2">
        <v>90</v>
      </c>
      <c r="AE178" s="2">
        <v>106.22727272727273</v>
      </c>
    </row>
    <row r="179" spans="1:31" x14ac:dyDescent="0.3">
      <c r="A179" s="2" t="s">
        <v>93</v>
      </c>
      <c r="B179" s="2" t="s">
        <v>98</v>
      </c>
      <c r="C179" s="2" t="s">
        <v>157</v>
      </c>
      <c r="D179" s="2">
        <v>52</v>
      </c>
      <c r="E179" s="2">
        <v>250</v>
      </c>
      <c r="F179" s="2">
        <v>300</v>
      </c>
      <c r="G179" s="2">
        <v>0</v>
      </c>
      <c r="H179" s="2">
        <v>150</v>
      </c>
      <c r="I179" s="2">
        <f>IF(G179=0,H179,"")</f>
        <v>150</v>
      </c>
      <c r="J179" s="2">
        <v>2.5</v>
      </c>
      <c r="K179" s="2" t="s">
        <v>210</v>
      </c>
      <c r="L179" s="2" t="s">
        <v>210</v>
      </c>
      <c r="M179" s="2" t="s">
        <v>210</v>
      </c>
      <c r="N179" s="2">
        <v>0</v>
      </c>
      <c r="O179" s="2" t="s">
        <v>210</v>
      </c>
      <c r="P179" s="2" t="s">
        <v>210</v>
      </c>
      <c r="Q179" s="2">
        <v>5</v>
      </c>
      <c r="R179" s="2">
        <f>IF(S179="-",0,S179*E179*H179/100)</f>
        <v>1380</v>
      </c>
      <c r="S179" s="2">
        <v>3.68</v>
      </c>
      <c r="T179" s="2">
        <v>400</v>
      </c>
      <c r="U179" s="2">
        <v>2300</v>
      </c>
      <c r="V179" s="2">
        <v>150</v>
      </c>
      <c r="W179" s="2">
        <f>AA179*2</f>
        <v>56</v>
      </c>
      <c r="X179" s="2">
        <f>W179/Z179/H179*100/SIN(AD179*PI()/180)</f>
        <v>0.22466938863232153</v>
      </c>
      <c r="Y179" s="2">
        <f>W179*V179*1000</f>
        <v>8400000</v>
      </c>
      <c r="Z179" s="2">
        <v>235</v>
      </c>
      <c r="AA179" s="2">
        <f>20*1.4</f>
        <v>28</v>
      </c>
      <c r="AB179" s="2">
        <f>Z179/E179</f>
        <v>0.94</v>
      </c>
      <c r="AC179" s="2">
        <f>20/1.4</f>
        <v>14.285714285714286</v>
      </c>
      <c r="AD179" s="2">
        <v>45</v>
      </c>
      <c r="AE179" s="2">
        <v>139.15151515151516</v>
      </c>
    </row>
    <row r="180" spans="1:31" x14ac:dyDescent="0.3">
      <c r="A180" s="2" t="s">
        <v>317</v>
      </c>
      <c r="B180" s="2" t="s">
        <v>95</v>
      </c>
      <c r="C180" s="2" t="s">
        <v>46</v>
      </c>
      <c r="D180" s="2">
        <v>25</v>
      </c>
      <c r="E180" s="2">
        <v>350</v>
      </c>
      <c r="F180" s="2">
        <v>406</v>
      </c>
      <c r="G180" s="2">
        <v>102</v>
      </c>
      <c r="H180" s="2">
        <v>152</v>
      </c>
      <c r="I180" s="2">
        <v>508</v>
      </c>
      <c r="J180" s="2">
        <v>3</v>
      </c>
      <c r="K180" s="2" t="s">
        <v>210</v>
      </c>
      <c r="L180" s="2" t="s">
        <v>210</v>
      </c>
      <c r="M180" s="2" t="s">
        <v>210</v>
      </c>
      <c r="N180" s="2">
        <v>0</v>
      </c>
      <c r="O180" s="2" t="s">
        <v>210</v>
      </c>
      <c r="P180" s="2" t="s">
        <v>210</v>
      </c>
      <c r="Q180" s="2">
        <v>5</v>
      </c>
      <c r="R180" s="2">
        <f t="shared" ref="R180:R185" si="63">4*500</f>
        <v>2000</v>
      </c>
      <c r="S180" s="2">
        <f>R180/E180/H180*100</f>
        <v>3.7593984962406015</v>
      </c>
      <c r="T180" s="2">
        <v>470</v>
      </c>
      <c r="U180" s="2" t="s">
        <v>210</v>
      </c>
      <c r="V180" s="2" t="s">
        <v>210</v>
      </c>
      <c r="W180" s="2">
        <v>0</v>
      </c>
      <c r="X180" s="2">
        <v>0</v>
      </c>
      <c r="Y180" s="2">
        <v>0</v>
      </c>
      <c r="Z180" s="2" t="s">
        <v>210</v>
      </c>
      <c r="AA180" s="2" t="s">
        <v>210</v>
      </c>
      <c r="AB180" s="2">
        <v>5</v>
      </c>
      <c r="AC180" s="2">
        <v>1</v>
      </c>
      <c r="AD180" s="2">
        <v>90</v>
      </c>
      <c r="AE180" s="2">
        <v>81.3</v>
      </c>
    </row>
    <row r="181" spans="1:31" x14ac:dyDescent="0.3">
      <c r="A181" s="2" t="s">
        <v>317</v>
      </c>
      <c r="B181" s="2" t="s">
        <v>95</v>
      </c>
      <c r="C181" s="2" t="s">
        <v>47</v>
      </c>
      <c r="D181" s="2">
        <v>29.6</v>
      </c>
      <c r="E181" s="2">
        <v>350</v>
      </c>
      <c r="F181" s="2">
        <v>406</v>
      </c>
      <c r="G181" s="2">
        <v>102</v>
      </c>
      <c r="H181" s="2">
        <v>152</v>
      </c>
      <c r="I181" s="2">
        <v>508</v>
      </c>
      <c r="J181" s="2">
        <v>3</v>
      </c>
      <c r="K181" s="2">
        <v>650</v>
      </c>
      <c r="L181" s="2">
        <f>100</f>
        <v>100</v>
      </c>
      <c r="M181" s="2">
        <f>L181/O181/H181*100</f>
        <v>0.25303643724696356</v>
      </c>
      <c r="N181" s="2">
        <f>L181*K181</f>
        <v>65000</v>
      </c>
      <c r="O181" s="2">
        <v>260</v>
      </c>
      <c r="P181" s="2">
        <f>IF(O181="-","-",O181/E181)</f>
        <v>0.74285714285714288</v>
      </c>
      <c r="Q181" s="2">
        <f>IF(O181="-",0,O181/E181)</f>
        <v>0.74285714285714288</v>
      </c>
      <c r="R181" s="2">
        <f t="shared" si="63"/>
        <v>2000</v>
      </c>
      <c r="S181" s="2">
        <f>R181/E181/H181*100</f>
        <v>3.7593984962406015</v>
      </c>
      <c r="T181" s="2">
        <v>650</v>
      </c>
      <c r="U181" s="2" t="s">
        <v>210</v>
      </c>
      <c r="V181" s="2" t="s">
        <v>210</v>
      </c>
      <c r="W181" s="2">
        <v>0</v>
      </c>
      <c r="X181" s="2">
        <v>0</v>
      </c>
      <c r="Y181" s="2">
        <v>0</v>
      </c>
      <c r="Z181" s="2" t="s">
        <v>210</v>
      </c>
      <c r="AA181" s="2" t="s">
        <v>210</v>
      </c>
      <c r="AB181" s="2">
        <v>5</v>
      </c>
      <c r="AC181" s="2">
        <v>1</v>
      </c>
      <c r="AD181" s="2">
        <v>90</v>
      </c>
      <c r="AE181" s="2">
        <v>194.7</v>
      </c>
    </row>
    <row r="182" spans="1:31" x14ac:dyDescent="0.3">
      <c r="A182" s="2" t="s">
        <v>317</v>
      </c>
      <c r="B182" s="2" t="s">
        <v>95</v>
      </c>
      <c r="C182" s="2" t="s">
        <v>48</v>
      </c>
      <c r="D182" s="2">
        <v>25</v>
      </c>
      <c r="E182" s="2">
        <v>350</v>
      </c>
      <c r="F182" s="2">
        <v>406</v>
      </c>
      <c r="G182" s="2">
        <v>102</v>
      </c>
      <c r="H182" s="2">
        <v>152</v>
      </c>
      <c r="I182" s="2">
        <v>508</v>
      </c>
      <c r="J182" s="2">
        <v>3</v>
      </c>
      <c r="K182" s="2">
        <v>540</v>
      </c>
      <c r="L182" s="2">
        <f>100</f>
        <v>100</v>
      </c>
      <c r="M182" s="2">
        <f>L182/O182/H182*100</f>
        <v>0.37593984962406013</v>
      </c>
      <c r="N182" s="2">
        <f>L182*K182</f>
        <v>54000</v>
      </c>
      <c r="O182" s="2">
        <v>175</v>
      </c>
      <c r="P182" s="2">
        <f>IF(O182="-","-",O182/E182)</f>
        <v>0.5</v>
      </c>
      <c r="Q182" s="2">
        <f>IF(O182="-",0,O182/E182)</f>
        <v>0.5</v>
      </c>
      <c r="R182" s="2">
        <f t="shared" si="63"/>
        <v>2000</v>
      </c>
      <c r="S182" s="2">
        <f>R182/E182/H182*100</f>
        <v>3.7593984962406015</v>
      </c>
      <c r="T182" s="2">
        <v>470</v>
      </c>
      <c r="U182" s="2" t="s">
        <v>210</v>
      </c>
      <c r="V182" s="2" t="s">
        <v>210</v>
      </c>
      <c r="W182" s="2">
        <v>0</v>
      </c>
      <c r="X182" s="2">
        <v>0</v>
      </c>
      <c r="Y182" s="2">
        <v>0</v>
      </c>
      <c r="Z182" s="2" t="s">
        <v>210</v>
      </c>
      <c r="AA182" s="2" t="s">
        <v>210</v>
      </c>
      <c r="AB182" s="2">
        <v>5</v>
      </c>
      <c r="AC182" s="2">
        <v>1</v>
      </c>
      <c r="AD182" s="2">
        <v>90</v>
      </c>
      <c r="AE182" s="2">
        <v>232.2</v>
      </c>
    </row>
    <row r="183" spans="1:31" x14ac:dyDescent="0.3">
      <c r="A183" s="2" t="s">
        <v>317</v>
      </c>
      <c r="B183" s="2" t="s">
        <v>95</v>
      </c>
      <c r="C183" s="2" t="s">
        <v>50</v>
      </c>
      <c r="D183" s="2">
        <v>25</v>
      </c>
      <c r="E183" s="2">
        <v>350</v>
      </c>
      <c r="F183" s="2">
        <v>406</v>
      </c>
      <c r="G183" s="2">
        <v>102</v>
      </c>
      <c r="H183" s="2">
        <v>152</v>
      </c>
      <c r="I183" s="2">
        <v>508</v>
      </c>
      <c r="J183" s="2">
        <v>3</v>
      </c>
      <c r="K183" s="2" t="s">
        <v>210</v>
      </c>
      <c r="L183" s="2" t="s">
        <v>210</v>
      </c>
      <c r="M183" s="2" t="s">
        <v>210</v>
      </c>
      <c r="N183" s="2">
        <v>0</v>
      </c>
      <c r="O183" s="2" t="s">
        <v>210</v>
      </c>
      <c r="P183" s="2" t="s">
        <v>210</v>
      </c>
      <c r="Q183" s="2">
        <v>5</v>
      </c>
      <c r="R183" s="2">
        <f t="shared" si="63"/>
        <v>2000</v>
      </c>
      <c r="S183" s="2">
        <f>R183/E183/H183*100</f>
        <v>3.7593984962406015</v>
      </c>
      <c r="T183" s="2">
        <v>470</v>
      </c>
      <c r="U183" s="2">
        <v>1885</v>
      </c>
      <c r="V183" s="2">
        <v>148</v>
      </c>
      <c r="W183" s="2">
        <f>AA183*2</f>
        <v>141.7643684932394</v>
      </c>
      <c r="X183" s="2">
        <f>W183/Z183/H183*100/SIN(AD183*PI()/180)</f>
        <v>0.71743101464189984</v>
      </c>
      <c r="Y183" s="2">
        <f>W183*V183*1000</f>
        <v>20981126.536999434</v>
      </c>
      <c r="Z183" s="2">
        <v>130</v>
      </c>
      <c r="AA183" s="2">
        <f>PI()*9.5^2/4</f>
        <v>70.882184246619701</v>
      </c>
      <c r="AB183" s="2">
        <f>Z183/E183</f>
        <v>0.37142857142857144</v>
      </c>
      <c r="AC183" s="2">
        <v>1</v>
      </c>
      <c r="AD183" s="2">
        <v>90</v>
      </c>
      <c r="AE183" s="2">
        <v>131.1</v>
      </c>
    </row>
    <row r="184" spans="1:31" x14ac:dyDescent="0.3">
      <c r="A184" s="2" t="s">
        <v>317</v>
      </c>
      <c r="B184" s="2" t="s">
        <v>95</v>
      </c>
      <c r="C184" s="2" t="s">
        <v>49</v>
      </c>
      <c r="D184" s="2">
        <v>29.6</v>
      </c>
      <c r="E184" s="2">
        <v>350</v>
      </c>
      <c r="F184" s="2">
        <v>406</v>
      </c>
      <c r="G184" s="2">
        <v>102</v>
      </c>
      <c r="H184" s="2">
        <v>152</v>
      </c>
      <c r="I184" s="2">
        <v>508</v>
      </c>
      <c r="J184" s="2">
        <v>3</v>
      </c>
      <c r="K184" s="2">
        <v>650</v>
      </c>
      <c r="L184" s="2">
        <f>100</f>
        <v>100</v>
      </c>
      <c r="M184" s="2">
        <f>L184/O184/H184*100</f>
        <v>0.25303643724696356</v>
      </c>
      <c r="N184" s="2">
        <f>L184*K184</f>
        <v>65000</v>
      </c>
      <c r="O184" s="2">
        <v>260</v>
      </c>
      <c r="P184" s="2">
        <f>IF(O184="-","-",O184/E184)</f>
        <v>0.74285714285714288</v>
      </c>
      <c r="Q184" s="2">
        <f>IF(O184="-",0,O184/E184)</f>
        <v>0.74285714285714288</v>
      </c>
      <c r="R184" s="2">
        <f t="shared" si="63"/>
        <v>2000</v>
      </c>
      <c r="S184" s="2">
        <f>R184/E184/H184*100</f>
        <v>3.7593984962406015</v>
      </c>
      <c r="T184" s="2">
        <v>650</v>
      </c>
      <c r="U184" s="2">
        <v>1885</v>
      </c>
      <c r="V184" s="2">
        <v>148</v>
      </c>
      <c r="W184" s="2">
        <f>AA184*2</f>
        <v>141.7643684932394</v>
      </c>
      <c r="X184" s="2">
        <f>W184/Z184/H184*100/SIN(AD184*PI()/180)</f>
        <v>0.71743101464189984</v>
      </c>
      <c r="Y184" s="2">
        <f>W184*V184*1000</f>
        <v>20981126.536999434</v>
      </c>
      <c r="Z184" s="2">
        <v>130</v>
      </c>
      <c r="AA184" s="2">
        <f>PI()*9.5^2/4</f>
        <v>70.882184246619701</v>
      </c>
      <c r="AB184" s="2">
        <f>Z184/E184</f>
        <v>0.37142857142857144</v>
      </c>
      <c r="AC184" s="2">
        <v>1</v>
      </c>
      <c r="AD184" s="2">
        <v>90</v>
      </c>
      <c r="AE184" s="2">
        <v>251.6</v>
      </c>
    </row>
    <row r="185" spans="1:31" x14ac:dyDescent="0.3">
      <c r="A185" s="2" t="s">
        <v>91</v>
      </c>
      <c r="B185" s="2" t="s">
        <v>95</v>
      </c>
      <c r="C185" s="2" t="s">
        <v>152</v>
      </c>
      <c r="D185" s="2">
        <v>25</v>
      </c>
      <c r="E185" s="2">
        <v>350</v>
      </c>
      <c r="F185" s="2">
        <v>406</v>
      </c>
      <c r="G185" s="2">
        <v>102</v>
      </c>
      <c r="H185" s="2">
        <v>152</v>
      </c>
      <c r="I185" s="2">
        <v>508</v>
      </c>
      <c r="J185" s="2">
        <v>3</v>
      </c>
      <c r="K185" s="2">
        <v>540</v>
      </c>
      <c r="L185" s="2">
        <f>100</f>
        <v>100</v>
      </c>
      <c r="M185" s="2">
        <f>L185/O185/H185*100</f>
        <v>0.37593984962406013</v>
      </c>
      <c r="N185" s="2">
        <f>L185*K185</f>
        <v>54000</v>
      </c>
      <c r="O185" s="2">
        <v>175</v>
      </c>
      <c r="P185" s="2">
        <f>IF(O185="-","-",O185/E185)</f>
        <v>0.5</v>
      </c>
      <c r="Q185" s="2">
        <f>IF(O185="-",0,O185/E185)</f>
        <v>0.5</v>
      </c>
      <c r="R185" s="2">
        <f t="shared" si="63"/>
        <v>2000</v>
      </c>
      <c r="S185" s="2">
        <f>R185/E185/H185*100</f>
        <v>3.7593984962406015</v>
      </c>
      <c r="T185" s="2">
        <v>470</v>
      </c>
      <c r="U185" s="2">
        <v>1885</v>
      </c>
      <c r="V185" s="2">
        <v>148</v>
      </c>
      <c r="W185" s="2">
        <f>AA185*2</f>
        <v>141.7643684932394</v>
      </c>
      <c r="X185" s="2">
        <f>W185/Z185/H185*100/SIN(AD185*PI()/180)</f>
        <v>0.71743101464189984</v>
      </c>
      <c r="Y185" s="2">
        <f>W185*V185*1000</f>
        <v>20981126.536999434</v>
      </c>
      <c r="Z185" s="2">
        <v>130</v>
      </c>
      <c r="AA185" s="2">
        <f>PI()*9.5^2/4</f>
        <v>70.882184246619701</v>
      </c>
      <c r="AB185" s="2">
        <f>Z185/E185</f>
        <v>0.37142857142857144</v>
      </c>
      <c r="AC185" s="2">
        <v>1</v>
      </c>
      <c r="AD185" s="2">
        <v>90</v>
      </c>
      <c r="AE185" s="2">
        <v>241.7</v>
      </c>
    </row>
    <row r="186" spans="1:31" x14ac:dyDescent="0.3">
      <c r="A186" s="2" t="s">
        <v>318</v>
      </c>
      <c r="B186" s="2"/>
      <c r="C186" s="2" t="s">
        <v>2</v>
      </c>
      <c r="D186" s="2">
        <v>37.6</v>
      </c>
      <c r="E186" s="2">
        <v>430</v>
      </c>
      <c r="F186" s="2">
        <v>500</v>
      </c>
      <c r="G186" s="2">
        <v>100</v>
      </c>
      <c r="H186" s="2">
        <v>150</v>
      </c>
      <c r="I186" s="2">
        <v>380</v>
      </c>
      <c r="J186" s="2">
        <f t="shared" ref="J186:J194" si="64">1290/E186</f>
        <v>3</v>
      </c>
      <c r="K186" s="2">
        <v>338</v>
      </c>
      <c r="L186" s="2">
        <f t="shared" ref="L186:L202" si="65">2*PI()*6^2/4</f>
        <v>56.548667764616276</v>
      </c>
      <c r="M186" s="2">
        <f>L186/O186/H186*100</f>
        <v>0.18849555921538758</v>
      </c>
      <c r="N186" s="2">
        <f>L186*K186</f>
        <v>19113.4497044403</v>
      </c>
      <c r="O186" s="2">
        <v>200</v>
      </c>
      <c r="P186" s="2">
        <f>IF(O186="-","-",IF(N186=0,"-",O186/E186))</f>
        <v>0.46511627906976744</v>
      </c>
      <c r="Q186" s="2">
        <f>IF(O186="-",0,O186/E186)</f>
        <v>0.46511627906976744</v>
      </c>
      <c r="R186" s="2">
        <f t="shared" ref="R186:R196" si="66">PI()*22^2</f>
        <v>1520.5308443374599</v>
      </c>
      <c r="S186" s="2">
        <f>R186/E186/H186*100</f>
        <v>2.3574121617635035</v>
      </c>
      <c r="T186" s="2">
        <v>446</v>
      </c>
      <c r="U186" s="2" t="s">
        <v>210</v>
      </c>
      <c r="V186" s="2" t="s">
        <v>210</v>
      </c>
      <c r="W186" s="2">
        <v>0</v>
      </c>
      <c r="X186" s="2">
        <v>0</v>
      </c>
      <c r="Y186" s="2">
        <v>0</v>
      </c>
      <c r="Z186" s="2" t="s">
        <v>210</v>
      </c>
      <c r="AA186" s="2" t="s">
        <v>210</v>
      </c>
      <c r="AB186" s="2">
        <v>5</v>
      </c>
      <c r="AC186" s="2">
        <v>1</v>
      </c>
      <c r="AD186" s="2">
        <v>90</v>
      </c>
      <c r="AE186" s="2">
        <v>150</v>
      </c>
    </row>
    <row r="187" spans="1:31" x14ac:dyDescent="0.3">
      <c r="A187" s="2" t="s">
        <v>194</v>
      </c>
      <c r="B187" s="2"/>
      <c r="C187" s="2" t="s">
        <v>195</v>
      </c>
      <c r="D187" s="2">
        <v>37.6</v>
      </c>
      <c r="E187" s="2">
        <v>430</v>
      </c>
      <c r="F187" s="2">
        <v>500</v>
      </c>
      <c r="G187" s="2">
        <v>100</v>
      </c>
      <c r="H187" s="2">
        <v>150</v>
      </c>
      <c r="I187" s="2">
        <v>380</v>
      </c>
      <c r="J187" s="2">
        <f t="shared" si="64"/>
        <v>3</v>
      </c>
      <c r="K187" s="2">
        <v>338</v>
      </c>
      <c r="L187" s="2">
        <f t="shared" si="65"/>
        <v>56.548667764616276</v>
      </c>
      <c r="M187" s="2">
        <f>L187/O187/H187*100</f>
        <v>0.18849555921538758</v>
      </c>
      <c r="N187" s="2">
        <f>L187*K187</f>
        <v>19113.4497044403</v>
      </c>
      <c r="O187" s="2">
        <v>200</v>
      </c>
      <c r="P187" s="2">
        <f>IF(O187="-","-",O187/E187)</f>
        <v>0.46511627906976744</v>
      </c>
      <c r="Q187" s="2">
        <f>IF(O187="-",0,O187/E187)</f>
        <v>0.46511627906976744</v>
      </c>
      <c r="R187" s="2">
        <f t="shared" si="66"/>
        <v>1520.5308443374599</v>
      </c>
      <c r="S187" s="2">
        <f>R187/E187/H187*100</f>
        <v>2.3574121617635035</v>
      </c>
      <c r="T187" s="2">
        <v>446</v>
      </c>
      <c r="U187" s="2">
        <v>507</v>
      </c>
      <c r="V187" s="2">
        <v>200</v>
      </c>
      <c r="W187" s="2">
        <f t="shared" ref="W187:W202" si="67">AA187*2</f>
        <v>100.53096491487338</v>
      </c>
      <c r="X187" s="2">
        <f>W187/Z187/H187*100/SIN(AD187*PI()/180)</f>
        <v>0.3351032163829113</v>
      </c>
      <c r="Y187" s="2">
        <f t="shared" ref="Y187:Y202" si="68">W187*V187*1000</f>
        <v>20106192.982974678</v>
      </c>
      <c r="Z187" s="2">
        <v>200</v>
      </c>
      <c r="AA187" s="2">
        <f t="shared" ref="AA187:AA202" si="69">PI()*8^2/4</f>
        <v>50.26548245743669</v>
      </c>
      <c r="AB187" s="2">
        <f>Z187/E187</f>
        <v>0.46511627906976744</v>
      </c>
      <c r="AC187" s="2">
        <v>1</v>
      </c>
      <c r="AD187" s="2">
        <v>90</v>
      </c>
      <c r="AE187" s="2">
        <v>205</v>
      </c>
    </row>
    <row r="188" spans="1:31" x14ac:dyDescent="0.3">
      <c r="A188" s="2" t="s">
        <v>194</v>
      </c>
      <c r="B188" s="2"/>
      <c r="C188" s="2" t="s">
        <v>196</v>
      </c>
      <c r="D188" s="2">
        <v>37.6</v>
      </c>
      <c r="E188" s="2">
        <v>430</v>
      </c>
      <c r="F188" s="2">
        <v>500</v>
      </c>
      <c r="G188" s="2">
        <v>100</v>
      </c>
      <c r="H188" s="2">
        <v>150</v>
      </c>
      <c r="I188" s="2">
        <v>380</v>
      </c>
      <c r="J188" s="2">
        <f t="shared" si="64"/>
        <v>3</v>
      </c>
      <c r="K188" s="2">
        <v>338</v>
      </c>
      <c r="L188" s="2">
        <f t="shared" si="65"/>
        <v>56.548667764616276</v>
      </c>
      <c r="M188" s="2">
        <f>L188/O188/H188*100</f>
        <v>0.18849555921538758</v>
      </c>
      <c r="N188" s="2">
        <f>L188*K188</f>
        <v>19113.4497044403</v>
      </c>
      <c r="O188" s="2">
        <v>200</v>
      </c>
      <c r="P188" s="2">
        <f>IF(O188="-","-",O188/E188)</f>
        <v>0.46511627906976744</v>
      </c>
      <c r="Q188" s="2">
        <f>IF(O188="-",0,O188/E188)</f>
        <v>0.46511627906976744</v>
      </c>
      <c r="R188" s="2">
        <f t="shared" si="66"/>
        <v>1520.5308443374599</v>
      </c>
      <c r="S188" s="2">
        <f>R188/E188/H188*100</f>
        <v>2.3574121617635035</v>
      </c>
      <c r="T188" s="2">
        <v>446</v>
      </c>
      <c r="U188" s="2">
        <v>1900</v>
      </c>
      <c r="V188" s="2">
        <v>124</v>
      </c>
      <c r="W188" s="2">
        <f t="shared" si="67"/>
        <v>100.53096491487338</v>
      </c>
      <c r="X188" s="2">
        <f>W188/Z188/H188*100/SIN(AD188*PI()/180)</f>
        <v>0.3351032163829113</v>
      </c>
      <c r="Y188" s="2">
        <f t="shared" si="68"/>
        <v>12465839.649444299</v>
      </c>
      <c r="Z188" s="2">
        <v>200</v>
      </c>
      <c r="AA188" s="2">
        <f t="shared" si="69"/>
        <v>50.26548245743669</v>
      </c>
      <c r="AB188" s="2">
        <f>Z188/E188</f>
        <v>0.46511627906976744</v>
      </c>
      <c r="AC188" s="2">
        <v>1</v>
      </c>
      <c r="AD188" s="2">
        <v>90</v>
      </c>
      <c r="AE188" s="2">
        <v>220</v>
      </c>
    </row>
    <row r="189" spans="1:31" x14ac:dyDescent="0.3">
      <c r="A189" s="2" t="s">
        <v>194</v>
      </c>
      <c r="B189" s="2"/>
      <c r="C189" s="2" t="s">
        <v>197</v>
      </c>
      <c r="D189" s="2">
        <v>36.200000000000003</v>
      </c>
      <c r="E189" s="2">
        <v>430</v>
      </c>
      <c r="F189" s="2">
        <v>500</v>
      </c>
      <c r="G189" s="2">
        <v>100</v>
      </c>
      <c r="H189" s="2">
        <v>150</v>
      </c>
      <c r="I189" s="2">
        <v>380</v>
      </c>
      <c r="J189" s="2">
        <f t="shared" si="64"/>
        <v>3</v>
      </c>
      <c r="K189" s="2">
        <v>338</v>
      </c>
      <c r="L189" s="2">
        <f t="shared" si="65"/>
        <v>56.548667764616276</v>
      </c>
      <c r="M189" s="2">
        <f>L189/O189/H189*100</f>
        <v>0.18849555921538758</v>
      </c>
      <c r="N189" s="2">
        <f>L189*K189</f>
        <v>19113.4497044403</v>
      </c>
      <c r="O189" s="2">
        <v>200</v>
      </c>
      <c r="P189" s="2">
        <f>IF(O189="-","-",O189/E189)</f>
        <v>0.46511627906976744</v>
      </c>
      <c r="Q189" s="2">
        <f>IF(O189="-",0,O189/E189)</f>
        <v>0.46511627906976744</v>
      </c>
      <c r="R189" s="2">
        <f t="shared" si="66"/>
        <v>1520.5308443374599</v>
      </c>
      <c r="S189" s="2">
        <f>R189/E189/H189*100</f>
        <v>2.3574121617635035</v>
      </c>
      <c r="T189" s="2">
        <v>446</v>
      </c>
      <c r="U189" s="2">
        <v>507</v>
      </c>
      <c r="V189" s="2">
        <v>200</v>
      </c>
      <c r="W189" s="2">
        <f t="shared" si="67"/>
        <v>100.53096491487338</v>
      </c>
      <c r="X189" s="2">
        <f>W189/Z189/H189*100/SIN(AD189*PI()/180)</f>
        <v>0.3351032163829113</v>
      </c>
      <c r="Y189" s="2">
        <f t="shared" si="68"/>
        <v>20106192.982974678</v>
      </c>
      <c r="Z189" s="2">
        <v>200</v>
      </c>
      <c r="AA189" s="2">
        <f t="shared" si="69"/>
        <v>50.26548245743669</v>
      </c>
      <c r="AB189" s="2">
        <f>Z189/E189</f>
        <v>0.46511627906976744</v>
      </c>
      <c r="AC189" s="2">
        <v>1</v>
      </c>
      <c r="AD189" s="2">
        <v>90</v>
      </c>
      <c r="AE189" s="2">
        <v>233</v>
      </c>
    </row>
    <row r="190" spans="1:31" x14ac:dyDescent="0.3">
      <c r="A190" s="2" t="s">
        <v>194</v>
      </c>
      <c r="B190" s="2"/>
      <c r="C190" s="2" t="s">
        <v>198</v>
      </c>
      <c r="D190" s="2">
        <v>36.200000000000003</v>
      </c>
      <c r="E190" s="2">
        <v>430</v>
      </c>
      <c r="F190" s="2">
        <v>500</v>
      </c>
      <c r="G190" s="2">
        <v>100</v>
      </c>
      <c r="H190" s="2">
        <v>150</v>
      </c>
      <c r="I190" s="2">
        <v>380</v>
      </c>
      <c r="J190" s="2">
        <f t="shared" si="64"/>
        <v>3</v>
      </c>
      <c r="K190" s="2">
        <v>338</v>
      </c>
      <c r="L190" s="2">
        <f t="shared" si="65"/>
        <v>56.548667764616276</v>
      </c>
      <c r="M190" s="2">
        <f>L190/O190/H190*100</f>
        <v>0.18849555921538758</v>
      </c>
      <c r="N190" s="2">
        <f>L190*K190</f>
        <v>19113.4497044403</v>
      </c>
      <c r="O190" s="2">
        <v>200</v>
      </c>
      <c r="P190" s="2">
        <f>IF(O190="-","-",O190/E190)</f>
        <v>0.46511627906976744</v>
      </c>
      <c r="Q190" s="2">
        <f>IF(O190="-",0,O190/E190)</f>
        <v>0.46511627906976744</v>
      </c>
      <c r="R190" s="2">
        <f t="shared" si="66"/>
        <v>1520.5308443374599</v>
      </c>
      <c r="S190" s="2">
        <f>R190/E190/H190*100</f>
        <v>2.3574121617635035</v>
      </c>
      <c r="T190" s="2">
        <v>446</v>
      </c>
      <c r="U190" s="2">
        <v>1900</v>
      </c>
      <c r="V190" s="2">
        <v>124</v>
      </c>
      <c r="W190" s="2">
        <f t="shared" si="67"/>
        <v>100.53096491487338</v>
      </c>
      <c r="X190" s="2">
        <f>W190/Z190/H190*100/SIN(AD190*PI()/180)</f>
        <v>0.3351032163829113</v>
      </c>
      <c r="Y190" s="2">
        <f t="shared" si="68"/>
        <v>12465839.649444299</v>
      </c>
      <c r="Z190" s="2">
        <v>200</v>
      </c>
      <c r="AA190" s="2">
        <f t="shared" si="69"/>
        <v>50.26548245743669</v>
      </c>
      <c r="AB190" s="2">
        <f>Z190/E190</f>
        <v>0.46511627906976744</v>
      </c>
      <c r="AC190" s="2">
        <v>1</v>
      </c>
      <c r="AD190" s="2">
        <v>90</v>
      </c>
      <c r="AE190" s="2">
        <v>253</v>
      </c>
    </row>
    <row r="191" spans="1:31" x14ac:dyDescent="0.3">
      <c r="A191" s="2" t="s">
        <v>194</v>
      </c>
      <c r="B191" s="2"/>
      <c r="C191" s="2" t="s">
        <v>199</v>
      </c>
      <c r="D191" s="2">
        <v>38.6</v>
      </c>
      <c r="E191" s="2">
        <v>430</v>
      </c>
      <c r="F191" s="2">
        <v>500</v>
      </c>
      <c r="G191" s="2">
        <v>100</v>
      </c>
      <c r="H191" s="2">
        <v>150</v>
      </c>
      <c r="I191" s="2">
        <v>380</v>
      </c>
      <c r="J191" s="2">
        <f t="shared" si="64"/>
        <v>3</v>
      </c>
      <c r="K191" s="2">
        <v>338</v>
      </c>
      <c r="L191" s="2">
        <f t="shared" si="65"/>
        <v>56.548667764616276</v>
      </c>
      <c r="M191" s="2">
        <f>L191/O191/H191*100</f>
        <v>0.18849555921538758</v>
      </c>
      <c r="N191" s="2">
        <f>L191*K191</f>
        <v>19113.4497044403</v>
      </c>
      <c r="O191" s="2">
        <v>200</v>
      </c>
      <c r="P191" s="2">
        <f>IF(O191="-","-",O191/E191)</f>
        <v>0.46511627906976744</v>
      </c>
      <c r="Q191" s="2">
        <f>IF(O191="-",0,O191/E191)</f>
        <v>0.46511627906976744</v>
      </c>
      <c r="R191" s="2">
        <f t="shared" si="66"/>
        <v>1520.5308443374599</v>
      </c>
      <c r="S191" s="2">
        <f>R191/E191/H191*100</f>
        <v>2.3574121617635035</v>
      </c>
      <c r="T191" s="2">
        <v>446</v>
      </c>
      <c r="U191" s="2">
        <v>507</v>
      </c>
      <c r="V191" s="2">
        <v>200</v>
      </c>
      <c r="W191" s="2">
        <f t="shared" si="67"/>
        <v>100.53096491487338</v>
      </c>
      <c r="X191" s="2">
        <f>W191/Z191/H191*100/SIN(AD191*PI()/180)</f>
        <v>0.47390751340355913</v>
      </c>
      <c r="Y191" s="2">
        <f t="shared" si="68"/>
        <v>20106192.982974678</v>
      </c>
      <c r="Z191" s="2">
        <v>200</v>
      </c>
      <c r="AA191" s="2">
        <f t="shared" si="69"/>
        <v>50.26548245743669</v>
      </c>
      <c r="AB191" s="2">
        <f>Z191/E191</f>
        <v>0.46511627906976744</v>
      </c>
      <c r="AC191" s="2">
        <v>1</v>
      </c>
      <c r="AD191" s="2">
        <v>45</v>
      </c>
      <c r="AE191" s="2">
        <v>263</v>
      </c>
    </row>
    <row r="192" spans="1:31" x14ac:dyDescent="0.3">
      <c r="A192" s="2" t="s">
        <v>194</v>
      </c>
      <c r="B192" s="2"/>
      <c r="C192" s="2" t="s">
        <v>200</v>
      </c>
      <c r="D192" s="2">
        <v>38.6</v>
      </c>
      <c r="E192" s="2">
        <v>430</v>
      </c>
      <c r="F192" s="2">
        <v>500</v>
      </c>
      <c r="G192" s="2">
        <v>100</v>
      </c>
      <c r="H192" s="2">
        <v>150</v>
      </c>
      <c r="I192" s="2">
        <v>380</v>
      </c>
      <c r="J192" s="2">
        <f t="shared" si="64"/>
        <v>3</v>
      </c>
      <c r="K192" s="2">
        <v>338</v>
      </c>
      <c r="L192" s="2">
        <f t="shared" si="65"/>
        <v>56.548667764616276</v>
      </c>
      <c r="M192" s="2">
        <f>L192/O192/H192*100</f>
        <v>0.18849555921538758</v>
      </c>
      <c r="N192" s="2">
        <f>L192*K192</f>
        <v>19113.4497044403</v>
      </c>
      <c r="O192" s="2">
        <v>200</v>
      </c>
      <c r="P192" s="2">
        <f>IF(O192="-","-",O192/E192)</f>
        <v>0.46511627906976744</v>
      </c>
      <c r="Q192" s="2">
        <f>IF(O192="-",0,O192/E192)</f>
        <v>0.46511627906976744</v>
      </c>
      <c r="R192" s="2">
        <f t="shared" si="66"/>
        <v>1520.5308443374599</v>
      </c>
      <c r="S192" s="2">
        <f>R192/E192/H192*100</f>
        <v>2.3574121617635035</v>
      </c>
      <c r="T192" s="2">
        <v>446</v>
      </c>
      <c r="U192" s="2">
        <v>1900</v>
      </c>
      <c r="V192" s="2">
        <v>124</v>
      </c>
      <c r="W192" s="2">
        <f t="shared" si="67"/>
        <v>100.53096491487338</v>
      </c>
      <c r="X192" s="2">
        <f>W192/Z192/H192*100/SIN(AD192*PI()/180)</f>
        <v>0.47390751340355913</v>
      </c>
      <c r="Y192" s="2">
        <f t="shared" si="68"/>
        <v>12465839.649444299</v>
      </c>
      <c r="Z192" s="2">
        <v>200</v>
      </c>
      <c r="AA192" s="2">
        <f t="shared" si="69"/>
        <v>50.26548245743669</v>
      </c>
      <c r="AB192" s="2">
        <f>Z192/E192</f>
        <v>0.46511627906976744</v>
      </c>
      <c r="AC192" s="2">
        <v>1</v>
      </c>
      <c r="AD192" s="2">
        <v>45</v>
      </c>
      <c r="AE192" s="2">
        <v>288</v>
      </c>
    </row>
    <row r="193" spans="1:31" x14ac:dyDescent="0.3">
      <c r="A193" s="2" t="s">
        <v>194</v>
      </c>
      <c r="B193" s="2"/>
      <c r="C193" s="2" t="s">
        <v>287</v>
      </c>
      <c r="D193" s="2">
        <v>37.200000000000003</v>
      </c>
      <c r="E193" s="2">
        <v>430</v>
      </c>
      <c r="F193" s="2">
        <v>500</v>
      </c>
      <c r="G193" s="2">
        <v>100</v>
      </c>
      <c r="H193" s="2">
        <v>150</v>
      </c>
      <c r="I193" s="2">
        <v>380</v>
      </c>
      <c r="J193" s="2">
        <f t="shared" si="64"/>
        <v>3</v>
      </c>
      <c r="K193" s="2">
        <v>338</v>
      </c>
      <c r="L193" s="2">
        <f t="shared" si="65"/>
        <v>56.548667764616276</v>
      </c>
      <c r="M193" s="2">
        <f>L193/O193/H193*100</f>
        <v>0.18849555921538758</v>
      </c>
      <c r="N193" s="2">
        <f>L193*K193</f>
        <v>19113.4497044403</v>
      </c>
      <c r="O193" s="2">
        <v>200</v>
      </c>
      <c r="P193" s="2">
        <f>IF(O193="-","-",O193/E193)</f>
        <v>0.46511627906976744</v>
      </c>
      <c r="Q193" s="2">
        <f>IF(O193="-",0,O193/E193)</f>
        <v>0.46511627906976744</v>
      </c>
      <c r="R193" s="2">
        <f t="shared" si="66"/>
        <v>1520.5308443374599</v>
      </c>
      <c r="S193" s="2">
        <f>R193/E193/H193*100</f>
        <v>2.3574121617635035</v>
      </c>
      <c r="T193" s="2">
        <v>446</v>
      </c>
      <c r="U193" s="2">
        <v>507</v>
      </c>
      <c r="V193" s="2">
        <v>200</v>
      </c>
      <c r="W193" s="2">
        <f t="shared" si="67"/>
        <v>100.53096491487338</v>
      </c>
      <c r="X193" s="2">
        <f>W193/Z193/H193*100/SIN(AD193*PI()/180)</f>
        <v>0.47390751340355913</v>
      </c>
      <c r="Y193" s="2">
        <f t="shared" si="68"/>
        <v>20106192.982974678</v>
      </c>
      <c r="Z193" s="2">
        <v>200</v>
      </c>
      <c r="AA193" s="2">
        <f t="shared" si="69"/>
        <v>50.26548245743669</v>
      </c>
      <c r="AB193" s="2">
        <f>Z193/E193</f>
        <v>0.46511627906976744</v>
      </c>
      <c r="AC193" s="2">
        <v>1</v>
      </c>
      <c r="AD193" s="2">
        <v>45</v>
      </c>
      <c r="AE193" s="2">
        <v>235</v>
      </c>
    </row>
    <row r="194" spans="1:31" x14ac:dyDescent="0.3">
      <c r="A194" s="2" t="s">
        <v>194</v>
      </c>
      <c r="B194" s="2"/>
      <c r="C194" s="2" t="s">
        <v>288</v>
      </c>
      <c r="D194" s="2">
        <v>37.200000000000003</v>
      </c>
      <c r="E194" s="2">
        <v>430</v>
      </c>
      <c r="F194" s="2">
        <v>500</v>
      </c>
      <c r="G194" s="2">
        <v>100</v>
      </c>
      <c r="H194" s="2">
        <v>150</v>
      </c>
      <c r="I194" s="2">
        <v>380</v>
      </c>
      <c r="J194" s="2">
        <f t="shared" si="64"/>
        <v>3</v>
      </c>
      <c r="K194" s="2">
        <v>338</v>
      </c>
      <c r="L194" s="2">
        <f t="shared" si="65"/>
        <v>56.548667764616276</v>
      </c>
      <c r="M194" s="2">
        <f>L194/O194/H194*100</f>
        <v>0.18849555921538758</v>
      </c>
      <c r="N194" s="2">
        <f>L194*K194</f>
        <v>19113.4497044403</v>
      </c>
      <c r="O194" s="2">
        <v>200</v>
      </c>
      <c r="P194" s="2">
        <f>IF(O194="-","-",O194/E194)</f>
        <v>0.46511627906976744</v>
      </c>
      <c r="Q194" s="2">
        <f>IF(O194="-",0,O194/E194)</f>
        <v>0.46511627906976744</v>
      </c>
      <c r="R194" s="2">
        <f t="shared" si="66"/>
        <v>1520.5308443374599</v>
      </c>
      <c r="S194" s="2">
        <f>R194/E194/H194*100</f>
        <v>2.3574121617635035</v>
      </c>
      <c r="T194" s="2">
        <v>446</v>
      </c>
      <c r="U194" s="2">
        <v>1900</v>
      </c>
      <c r="V194" s="2">
        <v>124</v>
      </c>
      <c r="W194" s="2">
        <f t="shared" si="67"/>
        <v>100.53096491487338</v>
      </c>
      <c r="X194" s="2">
        <f>W194/Z194/H194*100/SIN(AD194*PI()/180)</f>
        <v>0.47390751340355913</v>
      </c>
      <c r="Y194" s="2">
        <f t="shared" si="68"/>
        <v>12465839.649444299</v>
      </c>
      <c r="Z194" s="2">
        <v>200</v>
      </c>
      <c r="AA194" s="2">
        <f t="shared" si="69"/>
        <v>50.26548245743669</v>
      </c>
      <c r="AB194" s="2">
        <f>Z194/E194</f>
        <v>0.46511627906976744</v>
      </c>
      <c r="AC194" s="2">
        <v>1</v>
      </c>
      <c r="AD194" s="2">
        <v>45</v>
      </c>
      <c r="AE194" s="2">
        <v>265</v>
      </c>
    </row>
    <row r="195" spans="1:31" x14ac:dyDescent="0.3">
      <c r="A195" s="2" t="s">
        <v>194</v>
      </c>
      <c r="B195" s="2"/>
      <c r="C195" s="2" t="s">
        <v>201</v>
      </c>
      <c r="D195" s="2">
        <v>34.200000000000003</v>
      </c>
      <c r="E195" s="2">
        <v>430</v>
      </c>
      <c r="F195" s="2">
        <v>500</v>
      </c>
      <c r="G195" s="2">
        <v>100</v>
      </c>
      <c r="H195" s="2">
        <v>150</v>
      </c>
      <c r="I195" s="2">
        <v>380</v>
      </c>
      <c r="J195" s="2">
        <v>3</v>
      </c>
      <c r="K195" s="2">
        <v>338</v>
      </c>
      <c r="L195" s="2">
        <f t="shared" si="65"/>
        <v>56.548667764616276</v>
      </c>
      <c r="M195" s="2">
        <f>L195/O195/H195*100</f>
        <v>0.12566370614359174</v>
      </c>
      <c r="N195" s="2">
        <f>L195*K195</f>
        <v>19113.4497044403</v>
      </c>
      <c r="O195" s="2">
        <v>300</v>
      </c>
      <c r="P195" s="2">
        <f>IF(O195="-","-",O195/E195)</f>
        <v>0.69767441860465118</v>
      </c>
      <c r="Q195" s="2">
        <f>IF(O195="-",0,O195/E195)</f>
        <v>0.69767441860465118</v>
      </c>
      <c r="R195" s="2">
        <f t="shared" si="66"/>
        <v>1520.5308443374599</v>
      </c>
      <c r="S195" s="2">
        <f>R195/E195/H195*100</f>
        <v>2.3574121617635035</v>
      </c>
      <c r="T195" s="2">
        <v>446</v>
      </c>
      <c r="U195" s="2">
        <v>507</v>
      </c>
      <c r="V195" s="2">
        <v>200</v>
      </c>
      <c r="W195" s="2">
        <f t="shared" si="67"/>
        <v>100.53096491487338</v>
      </c>
      <c r="X195" s="2">
        <f>W195/Z195/H195*100/SIN(AD195*PI()/180)</f>
        <v>0.31593834226903939</v>
      </c>
      <c r="Y195" s="2">
        <f t="shared" si="68"/>
        <v>20106192.982974678</v>
      </c>
      <c r="Z195" s="2">
        <v>300</v>
      </c>
      <c r="AA195" s="2">
        <f t="shared" si="69"/>
        <v>50.26548245743669</v>
      </c>
      <c r="AB195" s="2">
        <f>Z195/E195</f>
        <v>0.69767441860465118</v>
      </c>
      <c r="AC195" s="2">
        <v>1</v>
      </c>
      <c r="AD195" s="2">
        <v>45</v>
      </c>
      <c r="AE195" s="2">
        <v>190</v>
      </c>
    </row>
    <row r="196" spans="1:31" x14ac:dyDescent="0.3">
      <c r="A196" s="2" t="s">
        <v>194</v>
      </c>
      <c r="B196" s="2"/>
      <c r="C196" s="2" t="s">
        <v>202</v>
      </c>
      <c r="D196" s="2">
        <v>34.200000000000003</v>
      </c>
      <c r="E196" s="2">
        <v>430</v>
      </c>
      <c r="F196" s="2">
        <v>500</v>
      </c>
      <c r="G196" s="2">
        <v>100</v>
      </c>
      <c r="H196" s="2">
        <v>150</v>
      </c>
      <c r="I196" s="2">
        <v>380</v>
      </c>
      <c r="J196" s="2">
        <v>3</v>
      </c>
      <c r="K196" s="2">
        <v>338</v>
      </c>
      <c r="L196" s="2">
        <f t="shared" si="65"/>
        <v>56.548667764616276</v>
      </c>
      <c r="M196" s="2">
        <f>L196/O196/H196*100</f>
        <v>0.12566370614359174</v>
      </c>
      <c r="N196" s="2">
        <f>L196*K196</f>
        <v>19113.4497044403</v>
      </c>
      <c r="O196" s="2">
        <v>300</v>
      </c>
      <c r="P196" s="2">
        <f>IF(O196="-","-",O196/E196)</f>
        <v>0.69767441860465118</v>
      </c>
      <c r="Q196" s="2">
        <f>IF(O196="-",0,O196/E196)</f>
        <v>0.69767441860465118</v>
      </c>
      <c r="R196" s="2">
        <f t="shared" si="66"/>
        <v>1520.5308443374599</v>
      </c>
      <c r="S196" s="2">
        <f>R196/E196/H196*100</f>
        <v>2.3574121617635035</v>
      </c>
      <c r="T196" s="2">
        <v>446</v>
      </c>
      <c r="U196" s="2">
        <v>1900</v>
      </c>
      <c r="V196" s="2">
        <v>124</v>
      </c>
      <c r="W196" s="2">
        <f t="shared" si="67"/>
        <v>100.53096491487338</v>
      </c>
      <c r="X196" s="2">
        <f>W196/Z196/H196*100/SIN(AD196*PI()/180)</f>
        <v>0.31593834226903939</v>
      </c>
      <c r="Y196" s="2">
        <f t="shared" si="68"/>
        <v>12465839.649444299</v>
      </c>
      <c r="Z196" s="2">
        <v>300</v>
      </c>
      <c r="AA196" s="2">
        <f t="shared" si="69"/>
        <v>50.26548245743669</v>
      </c>
      <c r="AB196" s="2">
        <f>Z196/E196</f>
        <v>0.69767441860465118</v>
      </c>
      <c r="AC196" s="2">
        <v>1</v>
      </c>
      <c r="AD196" s="2">
        <v>45</v>
      </c>
      <c r="AE196" s="2">
        <v>205</v>
      </c>
    </row>
    <row r="197" spans="1:31" x14ac:dyDescent="0.3">
      <c r="A197" s="2" t="s">
        <v>194</v>
      </c>
      <c r="B197" s="2"/>
      <c r="C197" s="2" t="s">
        <v>128</v>
      </c>
      <c r="D197" s="2">
        <v>24.1</v>
      </c>
      <c r="E197" s="2">
        <v>310</v>
      </c>
      <c r="F197" s="2">
        <v>350</v>
      </c>
      <c r="G197" s="2">
        <v>0</v>
      </c>
      <c r="H197" s="2">
        <v>200</v>
      </c>
      <c r="I197" s="2">
        <f t="shared" ref="I197:I207" si="70">IF(G197=0,H197,"")</f>
        <v>200</v>
      </c>
      <c r="J197" s="2">
        <v>3</v>
      </c>
      <c r="K197" s="2">
        <v>338</v>
      </c>
      <c r="L197" s="2">
        <f t="shared" si="65"/>
        <v>56.548667764616276</v>
      </c>
      <c r="M197" s="2">
        <f>L197/O197/H197*100</f>
        <v>0.12293188644481801</v>
      </c>
      <c r="N197" s="2">
        <f>L197*K197</f>
        <v>19113.4497044403</v>
      </c>
      <c r="O197" s="2">
        <v>230</v>
      </c>
      <c r="P197" s="2">
        <f>IF(O197="-","-",O197/E197)</f>
        <v>0.74193548387096775</v>
      </c>
      <c r="Q197" s="2">
        <f>IF(O197="-",0,O197/E197)</f>
        <v>0.74193548387096775</v>
      </c>
      <c r="R197" s="2">
        <f t="shared" ref="R197:R202" si="71">PI()*20^2</f>
        <v>1256.6370614359173</v>
      </c>
      <c r="S197" s="2">
        <f>R197/E197/H197*100</f>
        <v>2.0268339700579312</v>
      </c>
      <c r="T197" s="2">
        <v>446</v>
      </c>
      <c r="U197" s="2">
        <v>1900</v>
      </c>
      <c r="V197" s="2">
        <v>124</v>
      </c>
      <c r="W197" s="2">
        <f t="shared" si="67"/>
        <v>100.53096491487338</v>
      </c>
      <c r="X197" s="2">
        <f>W197/Z197/H197*100/SIN(AD197*PI()/180)</f>
        <v>0.25132741228718347</v>
      </c>
      <c r="Y197" s="2">
        <f t="shared" si="68"/>
        <v>12465839.649444299</v>
      </c>
      <c r="Z197" s="2">
        <v>200</v>
      </c>
      <c r="AA197" s="2">
        <f t="shared" si="69"/>
        <v>50.26548245743669</v>
      </c>
      <c r="AB197" s="2">
        <f>Z197/E197</f>
        <v>0.64516129032258063</v>
      </c>
      <c r="AC197" s="2">
        <v>1</v>
      </c>
      <c r="AD197" s="2">
        <v>90</v>
      </c>
      <c r="AE197" s="2">
        <v>127.5</v>
      </c>
    </row>
    <row r="198" spans="1:31" x14ac:dyDescent="0.3">
      <c r="A198" s="2" t="s">
        <v>194</v>
      </c>
      <c r="B198" s="2"/>
      <c r="C198" s="2" t="s">
        <v>125</v>
      </c>
      <c r="D198" s="2">
        <v>22.8</v>
      </c>
      <c r="E198" s="2">
        <v>310</v>
      </c>
      <c r="F198" s="2">
        <v>350</v>
      </c>
      <c r="G198" s="2">
        <v>0</v>
      </c>
      <c r="H198" s="2">
        <v>200</v>
      </c>
      <c r="I198" s="2">
        <f t="shared" si="70"/>
        <v>200</v>
      </c>
      <c r="J198" s="2">
        <v>3</v>
      </c>
      <c r="K198" s="2">
        <v>338</v>
      </c>
      <c r="L198" s="2">
        <f t="shared" si="65"/>
        <v>56.548667764616276</v>
      </c>
      <c r="M198" s="2">
        <f>L198/O198/H198*100</f>
        <v>0.12293188644481801</v>
      </c>
      <c r="N198" s="2">
        <f>L198*K198</f>
        <v>19113.4497044403</v>
      </c>
      <c r="O198" s="2">
        <v>230</v>
      </c>
      <c r="P198" s="2">
        <f>IF(O198="-","-",O198/E198)</f>
        <v>0.74193548387096775</v>
      </c>
      <c r="Q198" s="2">
        <f>IF(O198="-",0,O198/E198)</f>
        <v>0.74193548387096775</v>
      </c>
      <c r="R198" s="2">
        <f t="shared" si="71"/>
        <v>1256.6370614359173</v>
      </c>
      <c r="S198" s="2">
        <f>R198/E198/H198*100</f>
        <v>2.0268339700579312</v>
      </c>
      <c r="T198" s="2">
        <v>446</v>
      </c>
      <c r="U198" s="2">
        <v>1900</v>
      </c>
      <c r="V198" s="2">
        <v>124</v>
      </c>
      <c r="W198" s="2">
        <f t="shared" si="67"/>
        <v>100.53096491487338</v>
      </c>
      <c r="X198" s="2">
        <f>W198/Z198/H198*100/SIN(AD198*PI()/180)</f>
        <v>0.25132741228718347</v>
      </c>
      <c r="Y198" s="2">
        <f t="shared" si="68"/>
        <v>12465839.649444299</v>
      </c>
      <c r="Z198" s="2">
        <v>200</v>
      </c>
      <c r="AA198" s="2">
        <f t="shared" si="69"/>
        <v>50.26548245743669</v>
      </c>
      <c r="AB198" s="2">
        <f>Z198/E198</f>
        <v>0.64516129032258063</v>
      </c>
      <c r="AC198" s="2">
        <v>1</v>
      </c>
      <c r="AD198" s="2">
        <v>90</v>
      </c>
      <c r="AE198" s="2">
        <v>144</v>
      </c>
    </row>
    <row r="199" spans="1:31" x14ac:dyDescent="0.3">
      <c r="A199" s="2" t="s">
        <v>194</v>
      </c>
      <c r="B199" s="2"/>
      <c r="C199" s="2" t="s">
        <v>131</v>
      </c>
      <c r="D199" s="2">
        <v>23</v>
      </c>
      <c r="E199" s="2">
        <v>310</v>
      </c>
      <c r="F199" s="2">
        <v>350</v>
      </c>
      <c r="G199" s="2">
        <v>0</v>
      </c>
      <c r="H199" s="2">
        <v>200</v>
      </c>
      <c r="I199" s="2">
        <f t="shared" si="70"/>
        <v>200</v>
      </c>
      <c r="J199" s="2">
        <v>3</v>
      </c>
      <c r="K199" s="2">
        <v>338</v>
      </c>
      <c r="L199" s="2">
        <f t="shared" si="65"/>
        <v>56.548667764616276</v>
      </c>
      <c r="M199" s="2">
        <f>L199/O199/H199*100</f>
        <v>0.12293188644481801</v>
      </c>
      <c r="N199" s="2">
        <f>L199*K199</f>
        <v>19113.4497044403</v>
      </c>
      <c r="O199" s="2">
        <v>230</v>
      </c>
      <c r="P199" s="2">
        <f>IF(O199="-","-",O199/E199)</f>
        <v>0.74193548387096775</v>
      </c>
      <c r="Q199" s="2">
        <f>IF(O199="-",0,O199/E199)</f>
        <v>0.74193548387096775</v>
      </c>
      <c r="R199" s="2">
        <f t="shared" si="71"/>
        <v>1256.6370614359173</v>
      </c>
      <c r="S199" s="2">
        <f>R199/E199/H199*100</f>
        <v>2.0268339700579312</v>
      </c>
      <c r="T199" s="2">
        <v>446</v>
      </c>
      <c r="U199" s="2">
        <v>1900</v>
      </c>
      <c r="V199" s="2">
        <v>165</v>
      </c>
      <c r="W199" s="2">
        <f t="shared" si="67"/>
        <v>100.53096491487338</v>
      </c>
      <c r="X199" s="2">
        <f>W199/Z199/H199*100/SIN(AD199*PI()/180)</f>
        <v>0.61814023487420766</v>
      </c>
      <c r="Y199" s="2">
        <f t="shared" si="68"/>
        <v>16587609.210954105</v>
      </c>
      <c r="Z199" s="2">
        <v>115</v>
      </c>
      <c r="AA199" s="2">
        <f t="shared" si="69"/>
        <v>50.26548245743669</v>
      </c>
      <c r="AB199" s="2">
        <f>Z199/E199</f>
        <v>0.37096774193548387</v>
      </c>
      <c r="AC199" s="2">
        <v>1</v>
      </c>
      <c r="AD199" s="2">
        <v>45</v>
      </c>
      <c r="AE199" s="2">
        <v>170</v>
      </c>
    </row>
    <row r="200" spans="1:31" x14ac:dyDescent="0.3">
      <c r="A200" s="2" t="s">
        <v>194</v>
      </c>
      <c r="B200" s="2"/>
      <c r="C200" s="2" t="s">
        <v>132</v>
      </c>
      <c r="D200" s="2">
        <v>28.5</v>
      </c>
      <c r="E200" s="2">
        <v>310</v>
      </c>
      <c r="F200" s="2">
        <v>350</v>
      </c>
      <c r="G200" s="2">
        <v>0</v>
      </c>
      <c r="H200" s="2">
        <v>200</v>
      </c>
      <c r="I200" s="2">
        <f t="shared" si="70"/>
        <v>200</v>
      </c>
      <c r="J200" s="2">
        <v>3</v>
      </c>
      <c r="K200" s="2">
        <v>338</v>
      </c>
      <c r="L200" s="2">
        <f t="shared" si="65"/>
        <v>56.548667764616276</v>
      </c>
      <c r="M200" s="2">
        <f>L200/O200/H200*100</f>
        <v>0.12293188644481801</v>
      </c>
      <c r="N200" s="2">
        <f>L200*K200</f>
        <v>19113.4497044403</v>
      </c>
      <c r="O200" s="2">
        <v>230</v>
      </c>
      <c r="P200" s="2">
        <f>IF(O200="-","-",O200/E200)</f>
        <v>0.74193548387096775</v>
      </c>
      <c r="Q200" s="2">
        <f>IF(O200="-",0,O200/E200)</f>
        <v>0.74193548387096775</v>
      </c>
      <c r="R200" s="2">
        <f t="shared" si="71"/>
        <v>1256.6370614359173</v>
      </c>
      <c r="S200" s="2">
        <f>R200/E200/H200*100</f>
        <v>2.0268339700579312</v>
      </c>
      <c r="T200" s="2">
        <v>446</v>
      </c>
      <c r="U200" s="2">
        <v>1900</v>
      </c>
      <c r="V200" s="2">
        <v>165</v>
      </c>
      <c r="W200" s="2">
        <f t="shared" si="67"/>
        <v>100.53096491487338</v>
      </c>
      <c r="X200" s="2">
        <f>W200/Z200/H200*100/SIN(AD200*PI()/180)</f>
        <v>0.30907011743710383</v>
      </c>
      <c r="Y200" s="2">
        <f t="shared" si="68"/>
        <v>16587609.210954105</v>
      </c>
      <c r="Z200" s="2">
        <v>230</v>
      </c>
      <c r="AA200" s="2">
        <f t="shared" si="69"/>
        <v>50.26548245743669</v>
      </c>
      <c r="AB200" s="2">
        <f>Z200/E200</f>
        <v>0.74193548387096775</v>
      </c>
      <c r="AC200" s="2">
        <v>1</v>
      </c>
      <c r="AD200" s="2">
        <v>45</v>
      </c>
      <c r="AE200" s="2">
        <v>167</v>
      </c>
    </row>
    <row r="201" spans="1:31" x14ac:dyDescent="0.3">
      <c r="A201" s="2" t="s">
        <v>194</v>
      </c>
      <c r="B201" s="2"/>
      <c r="C201" s="2" t="s">
        <v>129</v>
      </c>
      <c r="D201" s="2">
        <v>29.1</v>
      </c>
      <c r="E201" s="2">
        <v>310</v>
      </c>
      <c r="F201" s="2">
        <v>350</v>
      </c>
      <c r="G201" s="2">
        <v>0</v>
      </c>
      <c r="H201" s="2">
        <v>200</v>
      </c>
      <c r="I201" s="2">
        <f t="shared" si="70"/>
        <v>200</v>
      </c>
      <c r="J201" s="2">
        <v>3</v>
      </c>
      <c r="K201" s="2">
        <v>338</v>
      </c>
      <c r="L201" s="2">
        <f t="shared" si="65"/>
        <v>56.548667764616276</v>
      </c>
      <c r="M201" s="2">
        <f>L201/O201/H201*100</f>
        <v>0.12293188644481801</v>
      </c>
      <c r="N201" s="2">
        <f>L201*K201</f>
        <v>19113.4497044403</v>
      </c>
      <c r="O201" s="2">
        <v>230</v>
      </c>
      <c r="P201" s="2">
        <f>IF(O201="-","-",O201/E201)</f>
        <v>0.74193548387096775</v>
      </c>
      <c r="Q201" s="2">
        <f>IF(O201="-",0,O201/E201)</f>
        <v>0.74193548387096775</v>
      </c>
      <c r="R201" s="2">
        <f t="shared" si="71"/>
        <v>1256.6370614359173</v>
      </c>
      <c r="S201" s="2">
        <f>R201/E201/H201*100</f>
        <v>2.0268339700579312</v>
      </c>
      <c r="T201" s="2">
        <v>446</v>
      </c>
      <c r="U201" s="2">
        <v>1900</v>
      </c>
      <c r="V201" s="2">
        <v>165</v>
      </c>
      <c r="W201" s="2">
        <f t="shared" si="67"/>
        <v>100.53096491487338</v>
      </c>
      <c r="X201" s="2">
        <f>W201/Z201/H201*100/SIN(AD201*PI()/180)</f>
        <v>0.61814023487420766</v>
      </c>
      <c r="Y201" s="2">
        <f t="shared" si="68"/>
        <v>16587609.210954105</v>
      </c>
      <c r="Z201" s="2">
        <v>115</v>
      </c>
      <c r="AA201" s="2">
        <f t="shared" si="69"/>
        <v>50.26548245743669</v>
      </c>
      <c r="AB201" s="2">
        <f>Z201/E201</f>
        <v>0.37096774193548387</v>
      </c>
      <c r="AC201" s="2">
        <v>1</v>
      </c>
      <c r="AD201" s="2">
        <v>45</v>
      </c>
      <c r="AE201" s="2">
        <v>180</v>
      </c>
    </row>
    <row r="202" spans="1:31" x14ac:dyDescent="0.3">
      <c r="A202" s="2" t="s">
        <v>194</v>
      </c>
      <c r="B202" s="2"/>
      <c r="C202" s="2" t="s">
        <v>130</v>
      </c>
      <c r="D202" s="2">
        <v>23.9</v>
      </c>
      <c r="E202" s="2">
        <v>310</v>
      </c>
      <c r="F202" s="2">
        <v>350</v>
      </c>
      <c r="G202" s="2">
        <v>0</v>
      </c>
      <c r="H202" s="2">
        <v>200</v>
      </c>
      <c r="I202" s="2">
        <f t="shared" si="70"/>
        <v>200</v>
      </c>
      <c r="J202" s="2">
        <v>3</v>
      </c>
      <c r="K202" s="2">
        <v>338</v>
      </c>
      <c r="L202" s="2">
        <f t="shared" si="65"/>
        <v>56.548667764616276</v>
      </c>
      <c r="M202" s="2">
        <f>L202/O202/H202*100</f>
        <v>0.12293188644481801</v>
      </c>
      <c r="N202" s="2">
        <f>L202*K202</f>
        <v>19113.4497044403</v>
      </c>
      <c r="O202" s="2">
        <v>230</v>
      </c>
      <c r="P202" s="2">
        <f>IF(O202="-","-",O202/E202)</f>
        <v>0.74193548387096775</v>
      </c>
      <c r="Q202" s="2">
        <f>IF(O202="-",0,O202/E202)</f>
        <v>0.74193548387096775</v>
      </c>
      <c r="R202" s="2">
        <f t="shared" si="71"/>
        <v>1256.6370614359173</v>
      </c>
      <c r="S202" s="2">
        <f>R202/E202/H202*100</f>
        <v>2.0268339700579312</v>
      </c>
      <c r="T202" s="2">
        <v>446</v>
      </c>
      <c r="U202" s="2">
        <v>1900</v>
      </c>
      <c r="V202" s="2">
        <v>165</v>
      </c>
      <c r="W202" s="2">
        <f t="shared" si="67"/>
        <v>100.53096491487338</v>
      </c>
      <c r="X202" s="2">
        <f>W202/Z202/H202*100/SIN(AD202*PI()/180)</f>
        <v>0.30907011743710383</v>
      </c>
      <c r="Y202" s="2">
        <f t="shared" si="68"/>
        <v>16587609.210954105</v>
      </c>
      <c r="Z202" s="2">
        <v>230</v>
      </c>
      <c r="AA202" s="2">
        <f t="shared" si="69"/>
        <v>50.26548245743669</v>
      </c>
      <c r="AB202" s="2">
        <f>Z202/E202</f>
        <v>0.74193548387096775</v>
      </c>
      <c r="AC202" s="2">
        <v>1</v>
      </c>
      <c r="AD202" s="2">
        <v>45</v>
      </c>
      <c r="AE202" s="2">
        <v>189</v>
      </c>
    </row>
    <row r="203" spans="1:31" x14ac:dyDescent="0.3">
      <c r="A203" s="2" t="s">
        <v>237</v>
      </c>
      <c r="B203" s="2" t="s">
        <v>98</v>
      </c>
      <c r="C203" s="2" t="s">
        <v>228</v>
      </c>
      <c r="D203" s="2">
        <f>0.8*28.3</f>
        <v>22.64</v>
      </c>
      <c r="E203" s="2">
        <v>260</v>
      </c>
      <c r="F203" s="2">
        <v>300</v>
      </c>
      <c r="G203" s="2">
        <f>IF(B203="T","",0)</f>
        <v>0</v>
      </c>
      <c r="H203" s="2">
        <v>150</v>
      </c>
      <c r="I203" s="2">
        <f t="shared" si="70"/>
        <v>150</v>
      </c>
      <c r="J203" s="2">
        <f>600/E203</f>
        <v>2.3076923076923075</v>
      </c>
      <c r="K203" s="2" t="s">
        <v>210</v>
      </c>
      <c r="L203" s="2" t="s">
        <v>210</v>
      </c>
      <c r="M203" s="2" t="s">
        <v>210</v>
      </c>
      <c r="N203" s="2">
        <v>0</v>
      </c>
      <c r="O203" s="2" t="s">
        <v>210</v>
      </c>
      <c r="P203" s="2" t="s">
        <v>210</v>
      </c>
      <c r="Q203" s="2">
        <v>5</v>
      </c>
      <c r="R203" s="2">
        <f>PI()*18^2/2</f>
        <v>508.93800988154646</v>
      </c>
      <c r="S203" s="2">
        <f>R203/E203/H203*100</f>
        <v>1.3049692561065296</v>
      </c>
      <c r="T203" s="2">
        <v>485</v>
      </c>
      <c r="U203" s="2" t="s">
        <v>210</v>
      </c>
      <c r="V203" s="2" t="s">
        <v>210</v>
      </c>
      <c r="W203" s="2">
        <v>0</v>
      </c>
      <c r="X203" s="2">
        <v>0</v>
      </c>
      <c r="Y203" s="2">
        <v>0</v>
      </c>
      <c r="Z203" s="2" t="s">
        <v>210</v>
      </c>
      <c r="AA203" s="2" t="s">
        <v>210</v>
      </c>
      <c r="AB203" s="2">
        <v>5</v>
      </c>
      <c r="AC203" s="2">
        <v>1</v>
      </c>
      <c r="AD203" s="2">
        <v>90</v>
      </c>
      <c r="AE203" s="2">
        <v>55.6</v>
      </c>
    </row>
    <row r="204" spans="1:31" x14ac:dyDescent="0.3">
      <c r="A204" s="2" t="s">
        <v>237</v>
      </c>
      <c r="B204" s="2" t="s">
        <v>98</v>
      </c>
      <c r="C204" s="2" t="s">
        <v>228</v>
      </c>
      <c r="D204" s="2">
        <f>0.8*28.3</f>
        <v>22.64</v>
      </c>
      <c r="E204" s="2">
        <v>260</v>
      </c>
      <c r="F204" s="2">
        <v>300</v>
      </c>
      <c r="G204" s="2">
        <f>IF(B204="T","",0)</f>
        <v>0</v>
      </c>
      <c r="H204" s="2">
        <v>150</v>
      </c>
      <c r="I204" s="2">
        <f t="shared" si="70"/>
        <v>150</v>
      </c>
      <c r="J204" s="2">
        <f>600/E204</f>
        <v>2.3076923076923075</v>
      </c>
      <c r="K204" s="2" t="s">
        <v>210</v>
      </c>
      <c r="L204" s="2" t="s">
        <v>210</v>
      </c>
      <c r="M204" s="2" t="s">
        <v>210</v>
      </c>
      <c r="N204" s="2">
        <v>0</v>
      </c>
      <c r="O204" s="2" t="s">
        <v>210</v>
      </c>
      <c r="P204" s="2" t="s">
        <v>210</v>
      </c>
      <c r="Q204" s="2">
        <v>5</v>
      </c>
      <c r="R204" s="2">
        <f>PI()*18^2/2</f>
        <v>508.93800988154646</v>
      </c>
      <c r="S204" s="2">
        <f>R204/E204/H204*100</f>
        <v>1.3049692561065296</v>
      </c>
      <c r="T204" s="2">
        <v>485</v>
      </c>
      <c r="U204" s="2">
        <v>4950</v>
      </c>
      <c r="V204" s="2">
        <v>240</v>
      </c>
      <c r="W204" s="2">
        <f>AA204*2</f>
        <v>25.132741228718345</v>
      </c>
      <c r="X204" s="2">
        <f>W204/Z204/H204*100/SIN(AD204*PI()/180)</f>
        <v>0.13962634015954634</v>
      </c>
      <c r="Y204" s="2">
        <f>W204*V204*1000</f>
        <v>6031857.894892402</v>
      </c>
      <c r="Z204" s="2">
        <v>120</v>
      </c>
      <c r="AA204" s="2">
        <f>PI()*4^2/4</f>
        <v>12.566370614359172</v>
      </c>
      <c r="AB204" s="2">
        <f>Z204/E204</f>
        <v>0.46153846153846156</v>
      </c>
      <c r="AC204" s="2">
        <v>1</v>
      </c>
      <c r="AD204" s="2">
        <v>90</v>
      </c>
      <c r="AE204" s="2">
        <v>85.8</v>
      </c>
    </row>
    <row r="205" spans="1:31" x14ac:dyDescent="0.3">
      <c r="A205" s="2" t="s">
        <v>237</v>
      </c>
      <c r="B205" s="2" t="s">
        <v>98</v>
      </c>
      <c r="C205" s="2" t="s">
        <v>229</v>
      </c>
      <c r="D205" s="2">
        <f>0.8*28.3</f>
        <v>22.64</v>
      </c>
      <c r="E205" s="2">
        <v>260</v>
      </c>
      <c r="F205" s="2">
        <v>300</v>
      </c>
      <c r="G205" s="2">
        <f>IF(B205="T","",0)</f>
        <v>0</v>
      </c>
      <c r="H205" s="2">
        <v>150</v>
      </c>
      <c r="I205" s="2">
        <f t="shared" si="70"/>
        <v>150</v>
      </c>
      <c r="J205" s="2">
        <f>600/E205</f>
        <v>2.3076923076923075</v>
      </c>
      <c r="K205" s="2" t="s">
        <v>210</v>
      </c>
      <c r="L205" s="2" t="s">
        <v>210</v>
      </c>
      <c r="M205" s="2" t="s">
        <v>210</v>
      </c>
      <c r="N205" s="2">
        <v>0</v>
      </c>
      <c r="O205" s="2" t="s">
        <v>210</v>
      </c>
      <c r="P205" s="2" t="s">
        <v>210</v>
      </c>
      <c r="Q205" s="2">
        <v>5</v>
      </c>
      <c r="R205" s="2">
        <f>PI()*18^2/2</f>
        <v>508.93800988154646</v>
      </c>
      <c r="S205" s="2">
        <f>R205/E205/H205*100</f>
        <v>1.3049692561065296</v>
      </c>
      <c r="T205" s="2">
        <v>485</v>
      </c>
      <c r="U205" s="2">
        <v>4950</v>
      </c>
      <c r="V205" s="2">
        <v>240</v>
      </c>
      <c r="W205" s="2">
        <f>AA205*2</f>
        <v>25.132741228718345</v>
      </c>
      <c r="X205" s="2">
        <f>W205/Z205/H205*100/SIN(AD205*PI()/180)</f>
        <v>0.16755160819145565</v>
      </c>
      <c r="Y205" s="2">
        <f>W205*V205*1000</f>
        <v>6031857.894892402</v>
      </c>
      <c r="Z205" s="2">
        <v>100</v>
      </c>
      <c r="AA205" s="2">
        <f>PI()*4^2/4</f>
        <v>12.566370614359172</v>
      </c>
      <c r="AB205" s="2">
        <f>Z205/E205</f>
        <v>0.38461538461538464</v>
      </c>
      <c r="AC205" s="2">
        <v>1</v>
      </c>
      <c r="AD205" s="2">
        <v>90</v>
      </c>
      <c r="AE205" s="2">
        <v>88.4</v>
      </c>
    </row>
    <row r="206" spans="1:31" x14ac:dyDescent="0.3">
      <c r="A206" s="2" t="s">
        <v>237</v>
      </c>
      <c r="B206" s="2" t="s">
        <v>98</v>
      </c>
      <c r="C206" s="2" t="s">
        <v>230</v>
      </c>
      <c r="D206" s="2">
        <f>0.8*28.3</f>
        <v>22.64</v>
      </c>
      <c r="E206" s="2">
        <v>260</v>
      </c>
      <c r="F206" s="2">
        <v>300</v>
      </c>
      <c r="G206" s="2">
        <f>IF(B206="T","",0)</f>
        <v>0</v>
      </c>
      <c r="H206" s="2">
        <v>150</v>
      </c>
      <c r="I206" s="2">
        <f t="shared" si="70"/>
        <v>150</v>
      </c>
      <c r="J206" s="2">
        <f>600/E206</f>
        <v>2.3076923076923075</v>
      </c>
      <c r="K206" s="2" t="s">
        <v>210</v>
      </c>
      <c r="L206" s="2" t="s">
        <v>210</v>
      </c>
      <c r="M206" s="2" t="s">
        <v>210</v>
      </c>
      <c r="N206" s="2">
        <v>0</v>
      </c>
      <c r="O206" s="2" t="s">
        <v>210</v>
      </c>
      <c r="P206" s="2" t="s">
        <v>210</v>
      </c>
      <c r="Q206" s="2">
        <v>5</v>
      </c>
      <c r="R206" s="2">
        <f>PI()*18^2/2</f>
        <v>508.93800988154646</v>
      </c>
      <c r="S206" s="2">
        <f>R206/E206/H206*100</f>
        <v>1.3049692561065296</v>
      </c>
      <c r="T206" s="2">
        <v>485</v>
      </c>
      <c r="U206" s="2">
        <v>4950</v>
      </c>
      <c r="V206" s="2">
        <v>240</v>
      </c>
      <c r="W206" s="2">
        <f>AA206*2</f>
        <v>25.132741228718345</v>
      </c>
      <c r="X206" s="2">
        <f>W206/Z206/H206*100/SIN(AD206*PI()/180)</f>
        <v>0.11170107212763708</v>
      </c>
      <c r="Y206" s="2">
        <f>W206*V206*1000</f>
        <v>6031857.894892402</v>
      </c>
      <c r="Z206" s="2">
        <v>150</v>
      </c>
      <c r="AA206" s="2">
        <f>PI()*4^2/4</f>
        <v>12.566370614359172</v>
      </c>
      <c r="AB206" s="2">
        <f>Z206/E206</f>
        <v>0.57692307692307687</v>
      </c>
      <c r="AC206" s="2">
        <v>1</v>
      </c>
      <c r="AD206" s="2">
        <v>90</v>
      </c>
      <c r="AE206" s="2">
        <v>72.8</v>
      </c>
    </row>
    <row r="207" spans="1:31" x14ac:dyDescent="0.3">
      <c r="A207" s="2" t="s">
        <v>237</v>
      </c>
      <c r="B207" s="2" t="s">
        <v>98</v>
      </c>
      <c r="C207" s="2" t="s">
        <v>231</v>
      </c>
      <c r="D207" s="2">
        <f>0.8*28.3</f>
        <v>22.64</v>
      </c>
      <c r="E207" s="2">
        <v>260</v>
      </c>
      <c r="F207" s="2">
        <v>300</v>
      </c>
      <c r="G207" s="2">
        <f>IF(B207="T","",0)</f>
        <v>0</v>
      </c>
      <c r="H207" s="2">
        <v>150</v>
      </c>
      <c r="I207" s="2">
        <f t="shared" si="70"/>
        <v>150</v>
      </c>
      <c r="J207" s="2">
        <f>600/E207</f>
        <v>2.3076923076923075</v>
      </c>
      <c r="K207" s="2" t="s">
        <v>210</v>
      </c>
      <c r="L207" s="2" t="s">
        <v>210</v>
      </c>
      <c r="M207" s="2" t="s">
        <v>210</v>
      </c>
      <c r="N207" s="2">
        <v>0</v>
      </c>
      <c r="O207" s="2" t="s">
        <v>210</v>
      </c>
      <c r="P207" s="2" t="s">
        <v>210</v>
      </c>
      <c r="Q207" s="2">
        <v>5</v>
      </c>
      <c r="R207" s="2">
        <f>PI()*18^2/2</f>
        <v>508.93800988154646</v>
      </c>
      <c r="S207" s="2">
        <f>R207/E207/H207*100</f>
        <v>1.3049692561065296</v>
      </c>
      <c r="T207" s="2">
        <v>485</v>
      </c>
      <c r="U207" s="2">
        <v>4950</v>
      </c>
      <c r="V207" s="2">
        <v>240</v>
      </c>
      <c r="W207" s="2">
        <f>AA207*2</f>
        <v>25.132741228718345</v>
      </c>
      <c r="X207" s="2">
        <f>W207/Z207/H207*100/SIN(AD207*PI()/180)</f>
        <v>0.15796917113451969</v>
      </c>
      <c r="Y207" s="2">
        <f>W207*V207*1000</f>
        <v>6031857.894892402</v>
      </c>
      <c r="Z207" s="2">
        <v>150</v>
      </c>
      <c r="AA207" s="2">
        <f>PI()*4^2/4</f>
        <v>12.566370614359172</v>
      </c>
      <c r="AB207" s="2">
        <f>Z207/E207</f>
        <v>0.57692307692307687</v>
      </c>
      <c r="AC207" s="2">
        <v>1</v>
      </c>
      <c r="AD207" s="2">
        <v>45</v>
      </c>
      <c r="AE207" s="2">
        <v>92.7</v>
      </c>
    </row>
    <row r="208" spans="1:31" x14ac:dyDescent="0.3">
      <c r="A208" s="2" t="s">
        <v>319</v>
      </c>
      <c r="B208" s="2" t="s">
        <v>98</v>
      </c>
      <c r="C208" s="2" t="s">
        <v>18</v>
      </c>
      <c r="D208" s="2">
        <v>29.3</v>
      </c>
      <c r="E208" s="2">
        <v>173</v>
      </c>
      <c r="F208" s="2">
        <v>210</v>
      </c>
      <c r="G208" s="2">
        <v>0</v>
      </c>
      <c r="H208" s="2">
        <v>200</v>
      </c>
      <c r="I208" s="2">
        <v>200</v>
      </c>
      <c r="J208" s="2">
        <f t="shared" ref="J208:J215" si="72">519/E208</f>
        <v>3</v>
      </c>
      <c r="K208" s="2">
        <v>665.3</v>
      </c>
      <c r="L208" s="2">
        <f t="shared" ref="L208:L215" si="73">2*PI()*6^2/4</f>
        <v>56.548667764616276</v>
      </c>
      <c r="M208" s="2">
        <f>L208/O208/H208*100</f>
        <v>0.17671458676442586</v>
      </c>
      <c r="N208" s="2">
        <f>L208*K208</f>
        <v>37621.828663799206</v>
      </c>
      <c r="O208" s="2">
        <v>160</v>
      </c>
      <c r="P208" s="2">
        <f>IF(O208="-","-",IF(N208=0,"-",O208/E208))</f>
        <v>0.92485549132947975</v>
      </c>
      <c r="Q208" s="2">
        <f>O208/E208</f>
        <v>0.92485549132947975</v>
      </c>
      <c r="R208" s="2">
        <f t="shared" ref="R208:R215" si="74">PI()*22^2</f>
        <v>1520.5308443374599</v>
      </c>
      <c r="S208" s="2">
        <f>R208/E208/H208*100</f>
        <v>4.3945978160042198</v>
      </c>
      <c r="T208" s="2">
        <v>544</v>
      </c>
      <c r="U208" s="2" t="s">
        <v>210</v>
      </c>
      <c r="V208" s="2" t="s">
        <v>210</v>
      </c>
      <c r="W208" s="2">
        <v>0</v>
      </c>
      <c r="X208" s="2">
        <v>0</v>
      </c>
      <c r="Y208" s="2">
        <v>0</v>
      </c>
      <c r="Z208" s="2" t="s">
        <v>210</v>
      </c>
      <c r="AA208" s="2" t="s">
        <v>210</v>
      </c>
      <c r="AB208" s="2">
        <v>5</v>
      </c>
      <c r="AC208" s="2">
        <v>1</v>
      </c>
      <c r="AD208" s="2">
        <v>90</v>
      </c>
      <c r="AE208" s="2">
        <v>122.2</v>
      </c>
    </row>
    <row r="209" spans="1:31" x14ac:dyDescent="0.3">
      <c r="A209" s="2" t="s">
        <v>319</v>
      </c>
      <c r="B209" s="2" t="s">
        <v>98</v>
      </c>
      <c r="C209" s="2" t="s">
        <v>21</v>
      </c>
      <c r="D209" s="2">
        <v>29.3</v>
      </c>
      <c r="E209" s="2">
        <v>173</v>
      </c>
      <c r="F209" s="2">
        <v>210</v>
      </c>
      <c r="G209" s="2">
        <v>0</v>
      </c>
      <c r="H209" s="2">
        <v>200</v>
      </c>
      <c r="I209" s="2">
        <v>200</v>
      </c>
      <c r="J209" s="2">
        <f t="shared" si="72"/>
        <v>3</v>
      </c>
      <c r="K209" s="2">
        <v>665.3</v>
      </c>
      <c r="L209" s="2">
        <f t="shared" si="73"/>
        <v>56.548667764616276</v>
      </c>
      <c r="M209" s="2">
        <f>L209/O209/H209*100</f>
        <v>0.17671458676442586</v>
      </c>
      <c r="N209" s="2">
        <f>L209*K209</f>
        <v>37621.828663799206</v>
      </c>
      <c r="O209" s="2">
        <v>160</v>
      </c>
      <c r="P209" s="2">
        <f>IF(O209="-","-",IF(N209=0,"-",O209/E209))</f>
        <v>0.92485549132947975</v>
      </c>
      <c r="Q209" s="2">
        <f>IF(O209="-",0,O209/E209)</f>
        <v>0.92485549132947975</v>
      </c>
      <c r="R209" s="2">
        <f t="shared" si="74"/>
        <v>1520.5308443374599</v>
      </c>
      <c r="S209" s="2">
        <f>R209/E209/H209*100</f>
        <v>4.3945978160042198</v>
      </c>
      <c r="T209" s="2">
        <v>544.5</v>
      </c>
      <c r="U209" s="2">
        <v>2214</v>
      </c>
      <c r="V209" s="2">
        <v>145.69999999999999</v>
      </c>
      <c r="W209" s="2">
        <f t="shared" ref="W209:W215" si="75">AA209*2</f>
        <v>100.53096491487338</v>
      </c>
      <c r="X209" s="2">
        <f>W209/Z209/H209*100/SIN(AD209*PI()/180)</f>
        <v>0.6885682528415985</v>
      </c>
      <c r="Y209" s="2">
        <f t="shared" ref="Y209:Y215" si="76">W209*V209*1000</f>
        <v>14647361.588097051</v>
      </c>
      <c r="Z209" s="2">
        <v>73</v>
      </c>
      <c r="AA209" s="2">
        <f>PI()*8^2/4</f>
        <v>50.26548245743669</v>
      </c>
      <c r="AB209" s="2">
        <f>Z209/E209</f>
        <v>0.42196531791907516</v>
      </c>
      <c r="AC209" s="2">
        <v>1</v>
      </c>
      <c r="AD209" s="2">
        <v>90</v>
      </c>
      <c r="AE209" s="2">
        <v>176.4</v>
      </c>
    </row>
    <row r="210" spans="1:31" x14ac:dyDescent="0.3">
      <c r="A210" s="2" t="s">
        <v>319</v>
      </c>
      <c r="B210" s="2" t="s">
        <v>98</v>
      </c>
      <c r="C210" s="2" t="s">
        <v>19</v>
      </c>
      <c r="D210" s="2">
        <v>29.3</v>
      </c>
      <c r="E210" s="2">
        <v>173</v>
      </c>
      <c r="F210" s="2">
        <v>210</v>
      </c>
      <c r="G210" s="2">
        <v>0</v>
      </c>
      <c r="H210" s="2">
        <v>200</v>
      </c>
      <c r="I210" s="2">
        <v>200</v>
      </c>
      <c r="J210" s="2">
        <f t="shared" si="72"/>
        <v>3</v>
      </c>
      <c r="K210" s="2">
        <v>665.3</v>
      </c>
      <c r="L210" s="2">
        <f t="shared" si="73"/>
        <v>56.548667764616276</v>
      </c>
      <c r="M210" s="2">
        <f>L210/O210/H210*100</f>
        <v>0.17671458676442586</v>
      </c>
      <c r="N210" s="2">
        <f>L210*K210</f>
        <v>37621.828663799206</v>
      </c>
      <c r="O210" s="2">
        <v>160</v>
      </c>
      <c r="P210" s="2">
        <f>IF(O210="-","-",IF(N210=0,"-",O210/E210))</f>
        <v>0.92485549132947975</v>
      </c>
      <c r="Q210" s="2">
        <f>IF(O210="-",0,O210/E210)</f>
        <v>0.92485549132947975</v>
      </c>
      <c r="R210" s="2">
        <f t="shared" si="74"/>
        <v>1520.5308443374599</v>
      </c>
      <c r="S210" s="2">
        <f>R210/E210/H210*100</f>
        <v>4.3945978160042198</v>
      </c>
      <c r="T210" s="2">
        <v>544.5</v>
      </c>
      <c r="U210" s="2">
        <v>2214</v>
      </c>
      <c r="V210" s="2">
        <v>145.69999999999999</v>
      </c>
      <c r="W210" s="2">
        <f t="shared" si="75"/>
        <v>100.53096491487338</v>
      </c>
      <c r="X210" s="2">
        <f>W210/Z210/H210*100/SIN(AD210*PI()/180)</f>
        <v>0.6885682528415985</v>
      </c>
      <c r="Y210" s="2">
        <f t="shared" si="76"/>
        <v>14647361.588097051</v>
      </c>
      <c r="Z210" s="2">
        <v>73</v>
      </c>
      <c r="AA210" s="2">
        <f>PI()*8^2/4</f>
        <v>50.26548245743669</v>
      </c>
      <c r="AB210" s="2">
        <f>Z210/E210</f>
        <v>0.42196531791907516</v>
      </c>
      <c r="AC210" s="2">
        <v>1</v>
      </c>
      <c r="AD210" s="2">
        <v>90</v>
      </c>
      <c r="AE210" s="2">
        <v>148.6</v>
      </c>
    </row>
    <row r="211" spans="1:31" x14ac:dyDescent="0.3">
      <c r="A211" s="2" t="s">
        <v>319</v>
      </c>
      <c r="B211" s="2" t="s">
        <v>98</v>
      </c>
      <c r="C211" s="2" t="s">
        <v>24</v>
      </c>
      <c r="D211" s="2">
        <v>29.3</v>
      </c>
      <c r="E211" s="2">
        <v>173</v>
      </c>
      <c r="F211" s="2">
        <v>210</v>
      </c>
      <c r="G211" s="2">
        <v>0</v>
      </c>
      <c r="H211" s="2">
        <v>200</v>
      </c>
      <c r="I211" s="2">
        <v>200</v>
      </c>
      <c r="J211" s="2">
        <f t="shared" si="72"/>
        <v>3</v>
      </c>
      <c r="K211" s="2">
        <v>665.3</v>
      </c>
      <c r="L211" s="2">
        <f t="shared" si="73"/>
        <v>56.548667764616276</v>
      </c>
      <c r="M211" s="2">
        <f>L211/O211/H211*100</f>
        <v>0.17671458676442586</v>
      </c>
      <c r="N211" s="2">
        <f>L211*K211</f>
        <v>37621.828663799206</v>
      </c>
      <c r="O211" s="2">
        <v>160</v>
      </c>
      <c r="P211" s="2">
        <f>IF(O211="-","-",IF(N211=0,"-",O211/E211))</f>
        <v>0.92485549132947975</v>
      </c>
      <c r="Q211" s="2">
        <f>IF(O211="-",0,O211/E211)</f>
        <v>0.92485549132947975</v>
      </c>
      <c r="R211" s="2">
        <f t="shared" si="74"/>
        <v>1520.5308443374599</v>
      </c>
      <c r="S211" s="2">
        <f>R211/E211/H211*100</f>
        <v>4.3945978160042198</v>
      </c>
      <c r="T211" s="2">
        <v>544.5</v>
      </c>
      <c r="U211" s="2">
        <v>2214</v>
      </c>
      <c r="V211" s="2">
        <v>145.69999999999999</v>
      </c>
      <c r="W211" s="2">
        <f t="shared" si="75"/>
        <v>100.53096491487338</v>
      </c>
      <c r="X211" s="2">
        <f>W211/Z211/H211*100/SIN(AD211*PI()/180)</f>
        <v>1.1170107212763709</v>
      </c>
      <c r="Y211" s="2">
        <f t="shared" si="76"/>
        <v>14647361.588097051</v>
      </c>
      <c r="Z211" s="2">
        <v>45</v>
      </c>
      <c r="AA211" s="2">
        <f>PI()*8^2/4</f>
        <v>50.26548245743669</v>
      </c>
      <c r="AB211" s="2">
        <f>Z211/E211</f>
        <v>0.26011560693641617</v>
      </c>
      <c r="AC211" s="2">
        <v>1</v>
      </c>
      <c r="AD211" s="2">
        <v>90</v>
      </c>
      <c r="AE211" s="2">
        <v>150.80000000000001</v>
      </c>
    </row>
    <row r="212" spans="1:31" x14ac:dyDescent="0.3">
      <c r="A212" s="2" t="s">
        <v>319</v>
      </c>
      <c r="B212" s="2" t="s">
        <v>98</v>
      </c>
      <c r="C212" s="2" t="s">
        <v>25</v>
      </c>
      <c r="D212" s="2">
        <v>29.3</v>
      </c>
      <c r="E212" s="2">
        <v>173</v>
      </c>
      <c r="F212" s="2">
        <v>210</v>
      </c>
      <c r="G212" s="2">
        <v>0</v>
      </c>
      <c r="H212" s="2">
        <v>200</v>
      </c>
      <c r="I212" s="2">
        <v>200</v>
      </c>
      <c r="J212" s="2">
        <f t="shared" si="72"/>
        <v>3</v>
      </c>
      <c r="K212" s="2">
        <v>665.3</v>
      </c>
      <c r="L212" s="2">
        <f t="shared" si="73"/>
        <v>56.548667764616276</v>
      </c>
      <c r="M212" s="2">
        <f>L212/O212/H212*100</f>
        <v>0.17671458676442586</v>
      </c>
      <c r="N212" s="2">
        <f>L212*K212</f>
        <v>37621.828663799206</v>
      </c>
      <c r="O212" s="2">
        <v>160</v>
      </c>
      <c r="P212" s="2">
        <f>IF(O212="-","-",IF(N212=0,"-",O212/E212))</f>
        <v>0.92485549132947975</v>
      </c>
      <c r="Q212" s="2">
        <f>IF(O212="-",0,O212/E212)</f>
        <v>0.92485549132947975</v>
      </c>
      <c r="R212" s="2">
        <f t="shared" si="74"/>
        <v>1520.5308443374599</v>
      </c>
      <c r="S212" s="2">
        <f>R212/E212/H212*100</f>
        <v>4.3945978160042198</v>
      </c>
      <c r="T212" s="2">
        <v>544.5</v>
      </c>
      <c r="U212" s="2">
        <v>2214</v>
      </c>
      <c r="V212" s="2">
        <v>145.69999999999999</v>
      </c>
      <c r="W212" s="2">
        <f t="shared" si="75"/>
        <v>100.53096491487338</v>
      </c>
      <c r="X212" s="2">
        <f>W212/Z212/H212*100/SIN(AD212*PI()/180)</f>
        <v>0.48689128089406758</v>
      </c>
      <c r="Y212" s="2">
        <f t="shared" si="76"/>
        <v>14647361.588097051</v>
      </c>
      <c r="Z212" s="2">
        <v>146</v>
      </c>
      <c r="AA212" s="2">
        <f>PI()*8^2/4</f>
        <v>50.26548245743669</v>
      </c>
      <c r="AB212" s="2">
        <f>Z212/E212</f>
        <v>0.84393063583815031</v>
      </c>
      <c r="AC212" s="2">
        <v>1</v>
      </c>
      <c r="AD212" s="2">
        <v>45</v>
      </c>
      <c r="AE212" s="2">
        <v>161.30000000000001</v>
      </c>
    </row>
    <row r="213" spans="1:31" x14ac:dyDescent="0.3">
      <c r="A213" s="2" t="s">
        <v>319</v>
      </c>
      <c r="B213" s="2" t="s">
        <v>98</v>
      </c>
      <c r="C213" s="2" t="s">
        <v>20</v>
      </c>
      <c r="D213" s="2">
        <v>29.3</v>
      </c>
      <c r="E213" s="2">
        <v>173</v>
      </c>
      <c r="F213" s="2">
        <v>210</v>
      </c>
      <c r="G213" s="2">
        <v>0</v>
      </c>
      <c r="H213" s="2">
        <v>200</v>
      </c>
      <c r="I213" s="2">
        <v>200</v>
      </c>
      <c r="J213" s="2">
        <f t="shared" si="72"/>
        <v>3</v>
      </c>
      <c r="K213" s="2">
        <v>665.3</v>
      </c>
      <c r="L213" s="2">
        <f t="shared" si="73"/>
        <v>56.548667764616276</v>
      </c>
      <c r="M213" s="2">
        <f>L213/O213/H213*100</f>
        <v>0.17671458676442586</v>
      </c>
      <c r="N213" s="2">
        <f>L213*K213</f>
        <v>37621.828663799206</v>
      </c>
      <c r="O213" s="2">
        <v>160</v>
      </c>
      <c r="P213" s="2">
        <f>IF(O213="-","-",IF(N213=0,"-",O213/E213))</f>
        <v>0.92485549132947975</v>
      </c>
      <c r="Q213" s="2">
        <f>IF(O213="-",0,O213/E213)</f>
        <v>0.92485549132947975</v>
      </c>
      <c r="R213" s="2">
        <f t="shared" si="74"/>
        <v>1520.5308443374599</v>
      </c>
      <c r="S213" s="2">
        <f>R213/E213/H213*100</f>
        <v>4.3945978160042198</v>
      </c>
      <c r="T213" s="2">
        <v>544.5</v>
      </c>
      <c r="U213" s="2">
        <v>2214</v>
      </c>
      <c r="V213" s="2">
        <v>145.69999999999999</v>
      </c>
      <c r="W213" s="2">
        <f t="shared" si="75"/>
        <v>100.53096491487338</v>
      </c>
      <c r="X213" s="2">
        <f>W213/Z213/H213*100/SIN(AD213*PI()/180)</f>
        <v>0.97378256178813516</v>
      </c>
      <c r="Y213" s="2">
        <f t="shared" si="76"/>
        <v>14647361.588097051</v>
      </c>
      <c r="Z213" s="2">
        <v>73</v>
      </c>
      <c r="AA213" s="2">
        <f>PI()*8^2/4</f>
        <v>50.26548245743669</v>
      </c>
      <c r="AB213" s="2">
        <f>Z213/E213</f>
        <v>0.42196531791907516</v>
      </c>
      <c r="AC213" s="2">
        <v>1</v>
      </c>
      <c r="AD213" s="2">
        <v>45</v>
      </c>
      <c r="AE213" s="2">
        <v>150.19999999999999</v>
      </c>
    </row>
    <row r="214" spans="1:31" x14ac:dyDescent="0.3">
      <c r="A214" s="2" t="s">
        <v>319</v>
      </c>
      <c r="B214" s="2" t="s">
        <v>98</v>
      </c>
      <c r="C214" s="2" t="s">
        <v>23</v>
      </c>
      <c r="D214" s="2">
        <v>29.3</v>
      </c>
      <c r="E214" s="2">
        <v>173</v>
      </c>
      <c r="F214" s="2">
        <v>210</v>
      </c>
      <c r="G214" s="2">
        <v>0</v>
      </c>
      <c r="H214" s="2">
        <v>200</v>
      </c>
      <c r="I214" s="2">
        <v>200</v>
      </c>
      <c r="J214" s="2">
        <f t="shared" si="72"/>
        <v>3</v>
      </c>
      <c r="K214" s="2">
        <v>665.3</v>
      </c>
      <c r="L214" s="2">
        <f t="shared" si="73"/>
        <v>56.548667764616276</v>
      </c>
      <c r="M214" s="2">
        <f>L214/O214/H214*100</f>
        <v>0.17671458676442586</v>
      </c>
      <c r="N214" s="2">
        <f>L214*K214</f>
        <v>37621.828663799206</v>
      </c>
      <c r="O214" s="2">
        <v>160</v>
      </c>
      <c r="P214" s="2">
        <f>IF(O214="-","-",IF(N214=0,"-",O214/E214))</f>
        <v>0.92485549132947975</v>
      </c>
      <c r="Q214" s="2">
        <f>IF(O214="-",0,O214/E214)</f>
        <v>0.92485549132947975</v>
      </c>
      <c r="R214" s="2">
        <f t="shared" si="74"/>
        <v>1520.5308443374599</v>
      </c>
      <c r="S214" s="2">
        <f>R214/E214/H214*100</f>
        <v>4.3945978160042198</v>
      </c>
      <c r="T214" s="2">
        <v>544.5</v>
      </c>
      <c r="U214" s="2">
        <v>4823</v>
      </c>
      <c r="V214" s="2">
        <v>227</v>
      </c>
      <c r="W214" s="2">
        <f t="shared" si="75"/>
        <v>64</v>
      </c>
      <c r="X214" s="2">
        <f>W214/Z214/H214*100/SIN(AD214*PI()/180)</f>
        <v>0.43835616438356162</v>
      </c>
      <c r="Y214" s="2">
        <f t="shared" si="76"/>
        <v>14528000</v>
      </c>
      <c r="Z214" s="2">
        <v>73</v>
      </c>
      <c r="AA214" s="2">
        <v>32</v>
      </c>
      <c r="AB214" s="2">
        <f>Z214/E214</f>
        <v>0.42196531791907516</v>
      </c>
      <c r="AC214" s="2">
        <v>8</v>
      </c>
      <c r="AD214" s="2">
        <v>90</v>
      </c>
      <c r="AE214" s="2">
        <v>172.7</v>
      </c>
    </row>
    <row r="215" spans="1:31" x14ac:dyDescent="0.3">
      <c r="A215" s="2" t="s">
        <v>319</v>
      </c>
      <c r="B215" s="2" t="s">
        <v>98</v>
      </c>
      <c r="C215" s="2" t="s">
        <v>22</v>
      </c>
      <c r="D215" s="2">
        <v>29.3</v>
      </c>
      <c r="E215" s="2">
        <v>173</v>
      </c>
      <c r="F215" s="2">
        <v>210</v>
      </c>
      <c r="G215" s="2">
        <v>0</v>
      </c>
      <c r="H215" s="2">
        <v>200</v>
      </c>
      <c r="I215" s="2">
        <v>200</v>
      </c>
      <c r="J215" s="2">
        <f t="shared" si="72"/>
        <v>3</v>
      </c>
      <c r="K215" s="2">
        <v>665.3</v>
      </c>
      <c r="L215" s="2">
        <f t="shared" si="73"/>
        <v>56.548667764616276</v>
      </c>
      <c r="M215" s="2">
        <f>L215/O215/H215*100</f>
        <v>0.17671458676442586</v>
      </c>
      <c r="N215" s="2">
        <f>L215*K215</f>
        <v>37621.828663799206</v>
      </c>
      <c r="O215" s="2">
        <v>160</v>
      </c>
      <c r="P215" s="2">
        <f>IF(O215="-","-",IF(N215=0,"-",O215/E215))</f>
        <v>0.92485549132947975</v>
      </c>
      <c r="Q215" s="2">
        <f>IF(O215="-",0,O215/E215)</f>
        <v>0.92485549132947975</v>
      </c>
      <c r="R215" s="2">
        <f t="shared" si="74"/>
        <v>1520.5308443374599</v>
      </c>
      <c r="S215" s="2">
        <f>R215/E215/H215*100</f>
        <v>4.3945978160042198</v>
      </c>
      <c r="T215" s="2">
        <v>544.5</v>
      </c>
      <c r="U215" s="2">
        <v>4823</v>
      </c>
      <c r="V215" s="2">
        <v>227</v>
      </c>
      <c r="W215" s="2">
        <f t="shared" si="75"/>
        <v>64</v>
      </c>
      <c r="X215" s="2">
        <f>W215/Z215/H215*100/SIN(AD215*PI()/180)</f>
        <v>0.3099646164105414</v>
      </c>
      <c r="Y215" s="2">
        <f t="shared" si="76"/>
        <v>14528000</v>
      </c>
      <c r="Z215" s="2">
        <v>146</v>
      </c>
      <c r="AA215" s="2">
        <v>32</v>
      </c>
      <c r="AB215" s="2">
        <f>Z215/E215</f>
        <v>0.84393063583815031</v>
      </c>
      <c r="AC215" s="2">
        <v>8</v>
      </c>
      <c r="AD215" s="2">
        <v>45</v>
      </c>
      <c r="AE215" s="2">
        <v>154.9</v>
      </c>
    </row>
    <row r="216" spans="1:31" x14ac:dyDescent="0.3">
      <c r="A216" s="2" t="s">
        <v>94</v>
      </c>
      <c r="B216" s="2" t="s">
        <v>98</v>
      </c>
      <c r="C216" s="2" t="s">
        <v>204</v>
      </c>
      <c r="D216" s="2">
        <v>20</v>
      </c>
      <c r="E216" s="2">
        <v>220</v>
      </c>
      <c r="F216" s="2">
        <v>250</v>
      </c>
      <c r="G216" s="2">
        <v>0</v>
      </c>
      <c r="H216" s="2">
        <v>150</v>
      </c>
      <c r="I216" s="2">
        <f t="shared" ref="I216:I226" si="77">IF(G216=0,H216,"")</f>
        <v>150</v>
      </c>
      <c r="J216" s="2">
        <f t="shared" ref="J216:J226" si="78">400/E216</f>
        <v>1.8181818181818181</v>
      </c>
      <c r="K216" s="2">
        <v>248</v>
      </c>
      <c r="L216" s="2">
        <f t="shared" ref="L216:L230" si="79">PI()*8^2/2</f>
        <v>100.53096491487338</v>
      </c>
      <c r="M216" s="2">
        <f>L216/O216/H216*100</f>
        <v>0.16755160819145565</v>
      </c>
      <c r="N216" s="2">
        <f>L216*K216</f>
        <v>24931.679298888597</v>
      </c>
      <c r="O216" s="2">
        <v>400</v>
      </c>
      <c r="P216" s="2">
        <f>IF(O216="-","-",IF(N216=0,"-",O216/E216))</f>
        <v>1.8181818181818181</v>
      </c>
      <c r="Q216" s="2">
        <f>O216/E216</f>
        <v>1.8181818181818181</v>
      </c>
      <c r="R216" s="2">
        <f t="shared" ref="R216:R226" si="80">PI()*18^2/2</f>
        <v>508.93800988154646</v>
      </c>
      <c r="S216" s="2">
        <f>R216/E216/H216*100</f>
        <v>1.5422363935804437</v>
      </c>
      <c r="T216" s="2">
        <v>491</v>
      </c>
      <c r="U216" s="2" t="s">
        <v>210</v>
      </c>
      <c r="V216" s="2" t="s">
        <v>210</v>
      </c>
      <c r="W216" s="2">
        <v>0</v>
      </c>
      <c r="X216" s="2">
        <v>0</v>
      </c>
      <c r="Y216" s="2">
        <v>0</v>
      </c>
      <c r="Z216" s="2" t="s">
        <v>210</v>
      </c>
      <c r="AA216" s="2" t="s">
        <v>210</v>
      </c>
      <c r="AB216" s="2">
        <v>5</v>
      </c>
      <c r="AC216" s="2">
        <v>1</v>
      </c>
      <c r="AD216" s="2">
        <v>90</v>
      </c>
      <c r="AE216" s="2">
        <v>72.45</v>
      </c>
    </row>
    <row r="217" spans="1:31" x14ac:dyDescent="0.3">
      <c r="A217" s="2" t="s">
        <v>94</v>
      </c>
      <c r="B217" s="2" t="s">
        <v>98</v>
      </c>
      <c r="C217" s="2" t="s">
        <v>291</v>
      </c>
      <c r="D217" s="2">
        <v>20</v>
      </c>
      <c r="E217" s="2">
        <v>220</v>
      </c>
      <c r="F217" s="2">
        <v>250</v>
      </c>
      <c r="G217" s="2">
        <v>0</v>
      </c>
      <c r="H217" s="2">
        <v>150</v>
      </c>
      <c r="I217" s="2">
        <f t="shared" si="77"/>
        <v>150</v>
      </c>
      <c r="J217" s="2">
        <f t="shared" si="78"/>
        <v>1.8181818181818181</v>
      </c>
      <c r="K217" s="2">
        <v>248</v>
      </c>
      <c r="L217" s="2">
        <f t="shared" si="79"/>
        <v>100.53096491487338</v>
      </c>
      <c r="M217" s="2">
        <f>L217/O217/H217*100</f>
        <v>0.16755160819145565</v>
      </c>
      <c r="N217" s="2">
        <f>L217*K217</f>
        <v>24931.679298888597</v>
      </c>
      <c r="O217" s="2">
        <v>400</v>
      </c>
      <c r="P217" s="2">
        <f>IF(O217="-","-",IF(N217=0,"-",O217/E217))</f>
        <v>1.8181818181818181</v>
      </c>
      <c r="Q217" s="2">
        <f>O217/E217</f>
        <v>1.8181818181818181</v>
      </c>
      <c r="R217" s="2">
        <f t="shared" si="80"/>
        <v>508.93800988154646</v>
      </c>
      <c r="S217" s="2">
        <f>R217/E217/H217*100</f>
        <v>1.5422363935804437</v>
      </c>
      <c r="T217" s="2">
        <v>491</v>
      </c>
      <c r="U217" s="2">
        <v>2100</v>
      </c>
      <c r="V217" s="2">
        <v>230</v>
      </c>
      <c r="W217" s="2">
        <f t="shared" ref="W217:W226" si="81">AA217*2</f>
        <v>129.03200000000001</v>
      </c>
      <c r="X217" s="2">
        <f>W217/Z217/H217*100/SIN(AD217*PI()/180)</f>
        <v>1.720426666666667</v>
      </c>
      <c r="Y217" s="2">
        <f t="shared" ref="Y217:Y226" si="82">W217*V217*1000</f>
        <v>29677360.000000004</v>
      </c>
      <c r="Z217" s="2">
        <v>50</v>
      </c>
      <c r="AA217" s="2">
        <f>64.516</f>
        <v>64.516000000000005</v>
      </c>
      <c r="AB217" s="2">
        <f>Z217/E217</f>
        <v>0.22727272727272727</v>
      </c>
      <c r="AC217" s="2">
        <v>1</v>
      </c>
      <c r="AD217" s="2">
        <v>90</v>
      </c>
      <c r="AE217" s="2">
        <v>141.16999999999999</v>
      </c>
    </row>
    <row r="218" spans="1:31" x14ac:dyDescent="0.3">
      <c r="A218" s="2" t="s">
        <v>94</v>
      </c>
      <c r="B218" s="2" t="s">
        <v>98</v>
      </c>
      <c r="C218" s="2" t="s">
        <v>290</v>
      </c>
      <c r="D218" s="2">
        <v>20</v>
      </c>
      <c r="E218" s="2">
        <v>220</v>
      </c>
      <c r="F218" s="2">
        <v>250</v>
      </c>
      <c r="G218" s="2">
        <v>0</v>
      </c>
      <c r="H218" s="2">
        <v>150</v>
      </c>
      <c r="I218" s="2">
        <f t="shared" si="77"/>
        <v>150</v>
      </c>
      <c r="J218" s="2">
        <f t="shared" si="78"/>
        <v>1.8181818181818181</v>
      </c>
      <c r="K218" s="2">
        <v>248</v>
      </c>
      <c r="L218" s="2">
        <f t="shared" si="79"/>
        <v>100.53096491487338</v>
      </c>
      <c r="M218" s="2">
        <f>L218/O218/H218*100</f>
        <v>0.16755160819145565</v>
      </c>
      <c r="N218" s="2">
        <f>L218*K218</f>
        <v>24931.679298888597</v>
      </c>
      <c r="O218" s="2">
        <v>400</v>
      </c>
      <c r="P218" s="2">
        <f>IF(O218="-","-",IF(N218=0,"-",O218/E218))</f>
        <v>1.8181818181818181</v>
      </c>
      <c r="Q218" s="2">
        <f>O218/E218</f>
        <v>1.8181818181818181</v>
      </c>
      <c r="R218" s="2">
        <f t="shared" si="80"/>
        <v>508.93800988154646</v>
      </c>
      <c r="S218" s="2">
        <f>R218/E218/H218*100</f>
        <v>1.5422363935804437</v>
      </c>
      <c r="T218" s="2">
        <v>491</v>
      </c>
      <c r="U218" s="2">
        <v>2100</v>
      </c>
      <c r="V218" s="2">
        <v>230</v>
      </c>
      <c r="W218" s="2">
        <f t="shared" si="81"/>
        <v>129.03200000000001</v>
      </c>
      <c r="X218" s="2">
        <f>W218/Z218/H218*100/SIN(AD218*PI()/180)</f>
        <v>1.2288761904761907</v>
      </c>
      <c r="Y218" s="2">
        <f t="shared" si="82"/>
        <v>29677360.000000004</v>
      </c>
      <c r="Z218" s="2">
        <v>70</v>
      </c>
      <c r="AA218" s="2">
        <f>64.516</f>
        <v>64.516000000000005</v>
      </c>
      <c r="AB218" s="2">
        <f>Z218/E218</f>
        <v>0.31818181818181818</v>
      </c>
      <c r="AC218" s="2">
        <v>1</v>
      </c>
      <c r="AD218" s="2">
        <v>90</v>
      </c>
      <c r="AE218" s="2">
        <v>138.80000000000001</v>
      </c>
    </row>
    <row r="219" spans="1:31" x14ac:dyDescent="0.3">
      <c r="A219" s="2" t="s">
        <v>94</v>
      </c>
      <c r="B219" s="2" t="s">
        <v>98</v>
      </c>
      <c r="C219" s="2" t="s">
        <v>289</v>
      </c>
      <c r="D219" s="2">
        <v>20</v>
      </c>
      <c r="E219" s="2">
        <v>220</v>
      </c>
      <c r="F219" s="2">
        <v>250</v>
      </c>
      <c r="G219" s="2">
        <v>0</v>
      </c>
      <c r="H219" s="2">
        <v>150</v>
      </c>
      <c r="I219" s="2">
        <f t="shared" si="77"/>
        <v>150</v>
      </c>
      <c r="J219" s="2">
        <f t="shared" si="78"/>
        <v>1.8181818181818181</v>
      </c>
      <c r="K219" s="2">
        <v>248</v>
      </c>
      <c r="L219" s="2">
        <f t="shared" si="79"/>
        <v>100.53096491487338</v>
      </c>
      <c r="M219" s="2">
        <f>L219/O219/H219*100</f>
        <v>0.16755160819145565</v>
      </c>
      <c r="N219" s="2">
        <f>L219*K219</f>
        <v>24931.679298888597</v>
      </c>
      <c r="O219" s="2">
        <v>400</v>
      </c>
      <c r="P219" s="2">
        <f>IF(O219="-","-",IF(N219=0,"-",O219/E219))</f>
        <v>1.8181818181818181</v>
      </c>
      <c r="Q219" s="2">
        <f>O219/E219</f>
        <v>1.8181818181818181</v>
      </c>
      <c r="R219" s="2">
        <f t="shared" si="80"/>
        <v>508.93800988154646</v>
      </c>
      <c r="S219" s="2">
        <f>R219/E219/H219*100</f>
        <v>1.5422363935804437</v>
      </c>
      <c r="T219" s="2">
        <v>491</v>
      </c>
      <c r="U219" s="2">
        <v>2100</v>
      </c>
      <c r="V219" s="2">
        <v>230</v>
      </c>
      <c r="W219" s="2">
        <f t="shared" si="81"/>
        <v>129.03200000000001</v>
      </c>
      <c r="X219" s="2">
        <f>W219/Z219/H219*100/SIN(AD219*PI()/180)</f>
        <v>0.95579259259259264</v>
      </c>
      <c r="Y219" s="2">
        <f t="shared" si="82"/>
        <v>29677360.000000004</v>
      </c>
      <c r="Z219" s="2">
        <v>90</v>
      </c>
      <c r="AA219" s="2">
        <f>64.516</f>
        <v>64.516000000000005</v>
      </c>
      <c r="AB219" s="2">
        <f>Z219/E219</f>
        <v>0.40909090909090912</v>
      </c>
      <c r="AC219" s="2">
        <v>1</v>
      </c>
      <c r="AD219" s="2">
        <v>90</v>
      </c>
      <c r="AE219" s="2">
        <v>135.63999999999999</v>
      </c>
    </row>
    <row r="220" spans="1:31" s="4" customFormat="1" x14ac:dyDescent="0.3">
      <c r="A220" s="2" t="s">
        <v>94</v>
      </c>
      <c r="B220" s="2" t="s">
        <v>98</v>
      </c>
      <c r="C220" s="2" t="s">
        <v>292</v>
      </c>
      <c r="D220" s="2">
        <v>20</v>
      </c>
      <c r="E220" s="2">
        <v>220</v>
      </c>
      <c r="F220" s="2">
        <v>250</v>
      </c>
      <c r="G220" s="2">
        <v>0</v>
      </c>
      <c r="H220" s="2">
        <v>150</v>
      </c>
      <c r="I220" s="2">
        <f t="shared" si="77"/>
        <v>150</v>
      </c>
      <c r="J220" s="2">
        <f t="shared" si="78"/>
        <v>1.8181818181818181</v>
      </c>
      <c r="K220" s="2">
        <v>248</v>
      </c>
      <c r="L220" s="2">
        <f t="shared" si="79"/>
        <v>100.53096491487338</v>
      </c>
      <c r="M220" s="2">
        <f>L220/O220/H220*100</f>
        <v>0.16755160819145565</v>
      </c>
      <c r="N220" s="2">
        <f>L220*K220</f>
        <v>24931.679298888597</v>
      </c>
      <c r="O220" s="2">
        <v>400</v>
      </c>
      <c r="P220" s="2">
        <f>IF(O220="-","-",IF(N220=0,"-",O220/E220))</f>
        <v>1.8181818181818181</v>
      </c>
      <c r="Q220" s="2">
        <f>O220/E220</f>
        <v>1.8181818181818181</v>
      </c>
      <c r="R220" s="2">
        <f t="shared" si="80"/>
        <v>508.93800988154646</v>
      </c>
      <c r="S220" s="2">
        <f>R220/E220/H220*100</f>
        <v>1.5422363935804437</v>
      </c>
      <c r="T220" s="2">
        <v>491</v>
      </c>
      <c r="U220" s="2">
        <v>2100</v>
      </c>
      <c r="V220" s="2">
        <v>230</v>
      </c>
      <c r="W220" s="2">
        <f t="shared" si="81"/>
        <v>129.03200000000001</v>
      </c>
      <c r="X220" s="2">
        <f>W220/Z220/H220*100/SIN(AD220*PI()/180)</f>
        <v>2.4330507250683366</v>
      </c>
      <c r="Y220" s="2">
        <f t="shared" si="82"/>
        <v>29677360.000000004</v>
      </c>
      <c r="Z220" s="2">
        <v>50</v>
      </c>
      <c r="AA220" s="2">
        <f>64.516</f>
        <v>64.516000000000005</v>
      </c>
      <c r="AB220" s="2">
        <f>Z220/E220</f>
        <v>0.22727272727272727</v>
      </c>
      <c r="AC220" s="2">
        <v>1</v>
      </c>
      <c r="AD220" s="2">
        <v>45</v>
      </c>
      <c r="AE220" s="2">
        <v>200.5</v>
      </c>
    </row>
    <row r="221" spans="1:31" s="4" customFormat="1" x14ac:dyDescent="0.3">
      <c r="A221" s="2" t="s">
        <v>94</v>
      </c>
      <c r="B221" s="2" t="s">
        <v>98</v>
      </c>
      <c r="C221" s="2" t="s">
        <v>293</v>
      </c>
      <c r="D221" s="2">
        <v>20</v>
      </c>
      <c r="E221" s="2">
        <v>220</v>
      </c>
      <c r="F221" s="2">
        <v>250</v>
      </c>
      <c r="G221" s="2">
        <v>0</v>
      </c>
      <c r="H221" s="2">
        <v>150</v>
      </c>
      <c r="I221" s="2">
        <f t="shared" si="77"/>
        <v>150</v>
      </c>
      <c r="J221" s="2">
        <f t="shared" si="78"/>
        <v>1.8181818181818181</v>
      </c>
      <c r="K221" s="2">
        <v>248</v>
      </c>
      <c r="L221" s="2">
        <f t="shared" si="79"/>
        <v>100.53096491487338</v>
      </c>
      <c r="M221" s="2">
        <f>L221/O221/H221*100</f>
        <v>0.16755160819145565</v>
      </c>
      <c r="N221" s="2">
        <f>L221*K221</f>
        <v>24931.679298888597</v>
      </c>
      <c r="O221" s="2">
        <v>400</v>
      </c>
      <c r="P221" s="2">
        <f>IF(O221="-","-",IF(N221=0,"-",O221/E221))</f>
        <v>1.8181818181818181</v>
      </c>
      <c r="Q221" s="2">
        <f>O221/E221</f>
        <v>1.8181818181818181</v>
      </c>
      <c r="R221" s="2">
        <f t="shared" si="80"/>
        <v>508.93800988154646</v>
      </c>
      <c r="S221" s="2">
        <f>R221/E221/H221*100</f>
        <v>1.5422363935804437</v>
      </c>
      <c r="T221" s="2">
        <v>491</v>
      </c>
      <c r="U221" s="2">
        <v>2100</v>
      </c>
      <c r="V221" s="2">
        <v>230</v>
      </c>
      <c r="W221" s="2">
        <f t="shared" si="81"/>
        <v>129.03200000000001</v>
      </c>
      <c r="X221" s="2">
        <f>W221/Z221/H221*100/SIN(AD221*PI()/180)</f>
        <v>1.7378933750488119</v>
      </c>
      <c r="Y221" s="2">
        <f t="shared" si="82"/>
        <v>29677360.000000004</v>
      </c>
      <c r="Z221" s="2">
        <v>70</v>
      </c>
      <c r="AA221" s="2">
        <f>64.516</f>
        <v>64.516000000000005</v>
      </c>
      <c r="AB221" s="2">
        <f>Z221/E221</f>
        <v>0.31818181818181818</v>
      </c>
      <c r="AC221" s="2">
        <v>1</v>
      </c>
      <c r="AD221" s="2">
        <v>45</v>
      </c>
      <c r="AE221" s="2">
        <v>183.26</v>
      </c>
    </row>
    <row r="222" spans="1:31" x14ac:dyDescent="0.3">
      <c r="A222" s="2" t="s">
        <v>94</v>
      </c>
      <c r="B222" s="2" t="s">
        <v>98</v>
      </c>
      <c r="C222" s="2" t="s">
        <v>167</v>
      </c>
      <c r="D222" s="2">
        <v>20</v>
      </c>
      <c r="E222" s="2">
        <v>220</v>
      </c>
      <c r="F222" s="2">
        <v>250</v>
      </c>
      <c r="G222" s="2">
        <v>0</v>
      </c>
      <c r="H222" s="2">
        <v>150</v>
      </c>
      <c r="I222" s="2">
        <f t="shared" si="77"/>
        <v>150</v>
      </c>
      <c r="J222" s="2">
        <f t="shared" si="78"/>
        <v>1.8181818181818181</v>
      </c>
      <c r="K222" s="2">
        <v>248</v>
      </c>
      <c r="L222" s="2">
        <f t="shared" si="79"/>
        <v>100.53096491487338</v>
      </c>
      <c r="M222" s="2">
        <f>L222/O222/H222*100</f>
        <v>0.16755160819145565</v>
      </c>
      <c r="N222" s="2">
        <f>L222*K222</f>
        <v>24931.679298888597</v>
      </c>
      <c r="O222" s="2">
        <v>400</v>
      </c>
      <c r="P222" s="2">
        <f>IF(O222="-","-",IF(N222=0,"-",O222/E222))</f>
        <v>1.8181818181818181</v>
      </c>
      <c r="Q222" s="2">
        <f>O222/E222</f>
        <v>1.8181818181818181</v>
      </c>
      <c r="R222" s="2">
        <f t="shared" si="80"/>
        <v>508.93800988154646</v>
      </c>
      <c r="S222" s="2">
        <f>R222/E222/H222*100</f>
        <v>1.5422363935804437</v>
      </c>
      <c r="T222" s="2">
        <v>491</v>
      </c>
      <c r="U222" s="2">
        <v>3100</v>
      </c>
      <c r="V222" s="2">
        <v>165</v>
      </c>
      <c r="W222" s="2">
        <f t="shared" si="81"/>
        <v>75</v>
      </c>
      <c r="X222" s="2">
        <f>W222/Z222/H222*100/SIN(AD222*PI()/180)</f>
        <v>1</v>
      </c>
      <c r="Y222" s="2">
        <f t="shared" si="82"/>
        <v>12375000</v>
      </c>
      <c r="Z222" s="2">
        <v>50</v>
      </c>
      <c r="AA222" s="2">
        <f>15*2.5</f>
        <v>37.5</v>
      </c>
      <c r="AB222" s="2">
        <f>Z222/E222</f>
        <v>0.22727272727272727</v>
      </c>
      <c r="AC222" s="2">
        <f>15/2.5</f>
        <v>6</v>
      </c>
      <c r="AD222" s="2">
        <v>90</v>
      </c>
      <c r="AE222" s="2">
        <v>146.68</v>
      </c>
    </row>
    <row r="223" spans="1:31" x14ac:dyDescent="0.3">
      <c r="A223" s="2" t="s">
        <v>94</v>
      </c>
      <c r="B223" s="2" t="s">
        <v>98</v>
      </c>
      <c r="C223" s="2" t="s">
        <v>168</v>
      </c>
      <c r="D223" s="2">
        <v>20</v>
      </c>
      <c r="E223" s="2">
        <v>220</v>
      </c>
      <c r="F223" s="2">
        <v>250</v>
      </c>
      <c r="G223" s="2">
        <v>0</v>
      </c>
      <c r="H223" s="2">
        <v>150</v>
      </c>
      <c r="I223" s="2">
        <f t="shared" si="77"/>
        <v>150</v>
      </c>
      <c r="J223" s="2">
        <f t="shared" si="78"/>
        <v>1.8181818181818181</v>
      </c>
      <c r="K223" s="2">
        <v>248</v>
      </c>
      <c r="L223" s="2">
        <f t="shared" si="79"/>
        <v>100.53096491487338</v>
      </c>
      <c r="M223" s="2">
        <f>L223/O223/H223*100</f>
        <v>0.16755160819145565</v>
      </c>
      <c r="N223" s="2">
        <f>L223*K223</f>
        <v>24931.679298888597</v>
      </c>
      <c r="O223" s="2">
        <v>400</v>
      </c>
      <c r="P223" s="2">
        <f>IF(O223="-","-",O223/E223)</f>
        <v>1.8181818181818181</v>
      </c>
      <c r="Q223" s="2">
        <f>IF(O223="-",0,O223/E223)</f>
        <v>1.8181818181818181</v>
      </c>
      <c r="R223" s="2">
        <f t="shared" si="80"/>
        <v>508.93800988154646</v>
      </c>
      <c r="S223" s="2">
        <f>R223/E223/H223*100</f>
        <v>1.5422363935804437</v>
      </c>
      <c r="T223" s="2">
        <v>491</v>
      </c>
      <c r="U223" s="2">
        <v>3100</v>
      </c>
      <c r="V223" s="2">
        <v>165</v>
      </c>
      <c r="W223" s="2">
        <f t="shared" si="81"/>
        <v>75</v>
      </c>
      <c r="X223" s="2">
        <f>W223/Z223/H223*100/SIN(AD223*PI()/180)</f>
        <v>0.7142857142857143</v>
      </c>
      <c r="Y223" s="2">
        <f t="shared" si="82"/>
        <v>12375000</v>
      </c>
      <c r="Z223" s="2">
        <v>70</v>
      </c>
      <c r="AA223" s="2">
        <f>15*2.5</f>
        <v>37.5</v>
      </c>
      <c r="AB223" s="2">
        <f>Z223/E223</f>
        <v>0.31818181818181818</v>
      </c>
      <c r="AC223" s="2">
        <f>15/2.5</f>
        <v>6</v>
      </c>
      <c r="AD223" s="2">
        <v>90</v>
      </c>
      <c r="AE223" s="2">
        <v>134.46</v>
      </c>
    </row>
    <row r="224" spans="1:31" x14ac:dyDescent="0.3">
      <c r="A224" s="2" t="s">
        <v>94</v>
      </c>
      <c r="B224" s="2" t="s">
        <v>98</v>
      </c>
      <c r="C224" s="2" t="s">
        <v>169</v>
      </c>
      <c r="D224" s="2">
        <v>20</v>
      </c>
      <c r="E224" s="2">
        <v>220</v>
      </c>
      <c r="F224" s="2">
        <v>250</v>
      </c>
      <c r="G224" s="2">
        <v>0</v>
      </c>
      <c r="H224" s="2">
        <v>150</v>
      </c>
      <c r="I224" s="2">
        <f t="shared" si="77"/>
        <v>150</v>
      </c>
      <c r="J224" s="2">
        <f t="shared" si="78"/>
        <v>1.8181818181818181</v>
      </c>
      <c r="K224" s="2">
        <v>248</v>
      </c>
      <c r="L224" s="2">
        <f t="shared" si="79"/>
        <v>100.53096491487338</v>
      </c>
      <c r="M224" s="2">
        <f>L224/O224/H224*100</f>
        <v>0.16755160819145565</v>
      </c>
      <c r="N224" s="2">
        <f>L224*K224</f>
        <v>24931.679298888597</v>
      </c>
      <c r="O224" s="2">
        <v>400</v>
      </c>
      <c r="P224" s="2">
        <f>IF(O224="-","-",O224/E224)</f>
        <v>1.8181818181818181</v>
      </c>
      <c r="Q224" s="2">
        <f>IF(O224="-",0,O224/E224)</f>
        <v>1.8181818181818181</v>
      </c>
      <c r="R224" s="2">
        <f t="shared" si="80"/>
        <v>508.93800988154646</v>
      </c>
      <c r="S224" s="2">
        <f>R224/E224/H224*100</f>
        <v>1.5422363935804437</v>
      </c>
      <c r="T224" s="2">
        <v>491</v>
      </c>
      <c r="U224" s="2">
        <v>3100</v>
      </c>
      <c r="V224" s="2">
        <v>165</v>
      </c>
      <c r="W224" s="2">
        <f t="shared" si="81"/>
        <v>75</v>
      </c>
      <c r="X224" s="2">
        <f>W224/Z224/H224*100/SIN(AD224*PI()/180)</f>
        <v>0.55555555555555558</v>
      </c>
      <c r="Y224" s="2">
        <f t="shared" si="82"/>
        <v>12375000</v>
      </c>
      <c r="Z224" s="2">
        <v>90</v>
      </c>
      <c r="AA224" s="2">
        <f>15*2.5</f>
        <v>37.5</v>
      </c>
      <c r="AB224" s="2">
        <f>Z224/E224</f>
        <v>0.40909090909090912</v>
      </c>
      <c r="AC224" s="2">
        <f>15/2.5</f>
        <v>6</v>
      </c>
      <c r="AD224" s="2">
        <v>90</v>
      </c>
      <c r="AE224" s="2">
        <v>121.54</v>
      </c>
    </row>
    <row r="225" spans="1:31" s="4" customFormat="1" x14ac:dyDescent="0.3">
      <c r="A225" s="2" t="s">
        <v>94</v>
      </c>
      <c r="B225" s="2" t="s">
        <v>98</v>
      </c>
      <c r="C225" s="2" t="s">
        <v>170</v>
      </c>
      <c r="D225" s="2">
        <v>20</v>
      </c>
      <c r="E225" s="2">
        <v>220</v>
      </c>
      <c r="F225" s="2">
        <v>250</v>
      </c>
      <c r="G225" s="2">
        <v>0</v>
      </c>
      <c r="H225" s="2">
        <v>150</v>
      </c>
      <c r="I225" s="2">
        <f t="shared" si="77"/>
        <v>150</v>
      </c>
      <c r="J225" s="2">
        <f t="shared" si="78"/>
        <v>1.8181818181818181</v>
      </c>
      <c r="K225" s="2">
        <v>248</v>
      </c>
      <c r="L225" s="2">
        <f t="shared" si="79"/>
        <v>100.53096491487338</v>
      </c>
      <c r="M225" s="2">
        <f>L225/O225/H225*100</f>
        <v>0.16755160819145565</v>
      </c>
      <c r="N225" s="2">
        <f>L225*K225</f>
        <v>24931.679298888597</v>
      </c>
      <c r="O225" s="2">
        <v>400</v>
      </c>
      <c r="P225" s="2">
        <f>IF(O225="-","-",O225/E225)</f>
        <v>1.8181818181818181</v>
      </c>
      <c r="Q225" s="2">
        <f>IF(O225="-",0,O225/E225)</f>
        <v>1.8181818181818181</v>
      </c>
      <c r="R225" s="2">
        <f t="shared" si="80"/>
        <v>508.93800988154646</v>
      </c>
      <c r="S225" s="2">
        <f>R225/E225/H225*100</f>
        <v>1.5422363935804437</v>
      </c>
      <c r="T225" s="2">
        <v>491</v>
      </c>
      <c r="U225" s="2">
        <v>3100</v>
      </c>
      <c r="V225" s="2">
        <v>165</v>
      </c>
      <c r="W225" s="2">
        <f t="shared" si="81"/>
        <v>75</v>
      </c>
      <c r="X225" s="2">
        <f>W225/Z225/H225*100/SIN(AD225*PI()/180)</f>
        <v>1.4142135623730951</v>
      </c>
      <c r="Y225" s="2">
        <f t="shared" si="82"/>
        <v>12375000</v>
      </c>
      <c r="Z225" s="2">
        <v>50</v>
      </c>
      <c r="AA225" s="2">
        <f>15*2.5</f>
        <v>37.5</v>
      </c>
      <c r="AB225" s="2">
        <f>Z225/E225</f>
        <v>0.22727272727272727</v>
      </c>
      <c r="AC225" s="2">
        <f>15/2.5</f>
        <v>6</v>
      </c>
      <c r="AD225" s="2">
        <v>45</v>
      </c>
      <c r="AE225" s="2">
        <v>202.66800000000001</v>
      </c>
    </row>
    <row r="226" spans="1:31" s="4" customFormat="1" x14ac:dyDescent="0.3">
      <c r="A226" s="2" t="s">
        <v>94</v>
      </c>
      <c r="B226" s="2" t="s">
        <v>98</v>
      </c>
      <c r="C226" s="2" t="s">
        <v>171</v>
      </c>
      <c r="D226" s="2">
        <v>20</v>
      </c>
      <c r="E226" s="2">
        <v>220</v>
      </c>
      <c r="F226" s="2">
        <v>250</v>
      </c>
      <c r="G226" s="2">
        <v>0</v>
      </c>
      <c r="H226" s="2">
        <v>150</v>
      </c>
      <c r="I226" s="2">
        <f t="shared" si="77"/>
        <v>150</v>
      </c>
      <c r="J226" s="2">
        <f t="shared" si="78"/>
        <v>1.8181818181818181</v>
      </c>
      <c r="K226" s="2">
        <v>248</v>
      </c>
      <c r="L226" s="2">
        <f t="shared" si="79"/>
        <v>100.53096491487338</v>
      </c>
      <c r="M226" s="2">
        <f>L226/O226/H226*100</f>
        <v>0.16755160819145565</v>
      </c>
      <c r="N226" s="2">
        <f>L226*K226</f>
        <v>24931.679298888597</v>
      </c>
      <c r="O226" s="2">
        <v>400</v>
      </c>
      <c r="P226" s="2">
        <f>IF(O226="-","-",O226/E226)</f>
        <v>1.8181818181818181</v>
      </c>
      <c r="Q226" s="2">
        <f>IF(O226="-",0,O226/E226)</f>
        <v>1.8181818181818181</v>
      </c>
      <c r="R226" s="2">
        <f t="shared" si="80"/>
        <v>508.93800988154646</v>
      </c>
      <c r="S226" s="2">
        <f>R226/E226/H226*100</f>
        <v>1.5422363935804437</v>
      </c>
      <c r="T226" s="2">
        <v>491</v>
      </c>
      <c r="U226" s="2">
        <v>3100</v>
      </c>
      <c r="V226" s="2">
        <v>165</v>
      </c>
      <c r="W226" s="2">
        <f t="shared" si="81"/>
        <v>75</v>
      </c>
      <c r="X226" s="2">
        <f>W226/Z226/H226*100/SIN(AD226*PI()/180)</f>
        <v>1.0101525445522108</v>
      </c>
      <c r="Y226" s="2">
        <f t="shared" si="82"/>
        <v>12375000</v>
      </c>
      <c r="Z226" s="2">
        <v>70</v>
      </c>
      <c r="AA226" s="2">
        <f>15*2.5</f>
        <v>37.5</v>
      </c>
      <c r="AB226" s="2">
        <f>Z226/E226</f>
        <v>0.31818181818181818</v>
      </c>
      <c r="AC226" s="2">
        <f>15/2.5</f>
        <v>6</v>
      </c>
      <c r="AD226" s="2">
        <v>45</v>
      </c>
      <c r="AE226" s="2">
        <v>163.46</v>
      </c>
    </row>
    <row r="227" spans="1:31" x14ac:dyDescent="0.3">
      <c r="A227" s="2" t="s">
        <v>320</v>
      </c>
      <c r="B227" s="2"/>
      <c r="C227" s="2" t="s">
        <v>31</v>
      </c>
      <c r="D227" s="2">
        <f>53</f>
        <v>53</v>
      </c>
      <c r="E227" s="2">
        <v>300</v>
      </c>
      <c r="F227" s="2">
        <v>350</v>
      </c>
      <c r="G227" s="2">
        <v>100</v>
      </c>
      <c r="H227" s="2">
        <v>150</v>
      </c>
      <c r="I227" s="2">
        <v>400</v>
      </c>
      <c r="J227" s="2">
        <f>750/E227</f>
        <v>2.5</v>
      </c>
      <c r="K227" s="2">
        <v>280</v>
      </c>
      <c r="L227" s="2">
        <f t="shared" si="79"/>
        <v>100.53096491487338</v>
      </c>
      <c r="M227" s="2">
        <f>L227/O227/H227*100</f>
        <v>0.30463928762082843</v>
      </c>
      <c r="N227" s="2">
        <f>L227*K227</f>
        <v>28148.670176164545</v>
      </c>
      <c r="O227" s="2">
        <v>220</v>
      </c>
      <c r="P227" s="2">
        <f>IF(O227="-","-",IF(N227=0,"-",O227/E227))</f>
        <v>0.73333333333333328</v>
      </c>
      <c r="Q227" s="2">
        <f>IF(O227="-",0,O227/E227)</f>
        <v>0.73333333333333328</v>
      </c>
      <c r="R227" s="2">
        <f>PI()*25^2</f>
        <v>1963.4954084936207</v>
      </c>
      <c r="S227" s="2">
        <f>R227/E227/H227*100</f>
        <v>4.3633231299858242</v>
      </c>
      <c r="T227" s="2">
        <v>360</v>
      </c>
      <c r="U227" s="2" t="s">
        <v>210</v>
      </c>
      <c r="V227" s="2" t="s">
        <v>210</v>
      </c>
      <c r="W227" s="2">
        <v>0</v>
      </c>
      <c r="X227" s="2">
        <v>0</v>
      </c>
      <c r="Y227" s="2">
        <v>0</v>
      </c>
      <c r="Z227" s="2" t="s">
        <v>210</v>
      </c>
      <c r="AA227" s="2" t="s">
        <v>210</v>
      </c>
      <c r="AB227" s="2">
        <v>5</v>
      </c>
      <c r="AC227" s="2">
        <v>1</v>
      </c>
      <c r="AD227" s="2">
        <v>90</v>
      </c>
      <c r="AE227" s="2">
        <v>179.8</v>
      </c>
    </row>
    <row r="228" spans="1:31" x14ac:dyDescent="0.3">
      <c r="A228" s="2" t="s">
        <v>320</v>
      </c>
      <c r="B228" s="2"/>
      <c r="C228" s="2" t="s">
        <v>294</v>
      </c>
      <c r="D228" s="2">
        <f>53</f>
        <v>53</v>
      </c>
      <c r="E228" s="2">
        <v>300</v>
      </c>
      <c r="F228" s="2">
        <v>350</v>
      </c>
      <c r="G228" s="2">
        <v>100</v>
      </c>
      <c r="H228" s="2">
        <v>150</v>
      </c>
      <c r="I228" s="2">
        <v>400</v>
      </c>
      <c r="J228" s="2">
        <f>750/E228</f>
        <v>2.5</v>
      </c>
      <c r="K228" s="2">
        <v>280</v>
      </c>
      <c r="L228" s="2">
        <f t="shared" si="79"/>
        <v>100.53096491487338</v>
      </c>
      <c r="M228" s="2">
        <f>L228/O228/H228*100</f>
        <v>0.30463928762082843</v>
      </c>
      <c r="N228" s="2">
        <f>L228*K228</f>
        <v>28148.670176164545</v>
      </c>
      <c r="O228" s="2">
        <v>220</v>
      </c>
      <c r="P228" s="2">
        <f>IF(O228="-","-",IF(N228=0,"-",O228/E228))</f>
        <v>0.73333333333333328</v>
      </c>
      <c r="Q228" s="2">
        <f>IF(O228="-",0,O228/E228)</f>
        <v>0.73333333333333328</v>
      </c>
      <c r="R228" s="2">
        <f>PI()*25^2</f>
        <v>1963.4954084936207</v>
      </c>
      <c r="S228" s="2">
        <f>R228/E228/H228*100</f>
        <v>4.3633231299858242</v>
      </c>
      <c r="T228" s="2">
        <v>360</v>
      </c>
      <c r="U228" s="2">
        <v>1350</v>
      </c>
      <c r="V228" s="2">
        <v>60</v>
      </c>
      <c r="W228" s="2">
        <f>AA228*2</f>
        <v>226.1946710584651</v>
      </c>
      <c r="X228" s="2">
        <f>W228/Z228/H228*100/SIN(AD228*PI()/180)</f>
        <v>0.39492292783629918</v>
      </c>
      <c r="Y228" s="2">
        <f t="shared" ref="Y228:Y236" si="83">W228*V228*1000</f>
        <v>13571680.263507906</v>
      </c>
      <c r="Z228" s="2">
        <v>540</v>
      </c>
      <c r="AA228" s="2">
        <f>PI()*12^2/4</f>
        <v>113.09733552923255</v>
      </c>
      <c r="AB228" s="2">
        <f>Z228/E228</f>
        <v>1.8</v>
      </c>
      <c r="AC228" s="2">
        <v>1</v>
      </c>
      <c r="AD228" s="2">
        <v>45</v>
      </c>
      <c r="AE228" s="2">
        <v>193.45</v>
      </c>
    </row>
    <row r="229" spans="1:31" x14ac:dyDescent="0.3">
      <c r="A229" s="2" t="s">
        <v>320</v>
      </c>
      <c r="B229" s="2"/>
      <c r="C229" s="2" t="s">
        <v>32</v>
      </c>
      <c r="D229" s="2">
        <f>53</f>
        <v>53</v>
      </c>
      <c r="E229" s="2">
        <v>300</v>
      </c>
      <c r="F229" s="2">
        <v>350</v>
      </c>
      <c r="G229" s="2">
        <v>100</v>
      </c>
      <c r="H229" s="2">
        <v>150</v>
      </c>
      <c r="I229" s="2">
        <v>400</v>
      </c>
      <c r="J229" s="2">
        <f>750/E229</f>
        <v>2.5</v>
      </c>
      <c r="K229" s="2">
        <v>280</v>
      </c>
      <c r="L229" s="2">
        <f t="shared" si="79"/>
        <v>100.53096491487338</v>
      </c>
      <c r="M229" s="2">
        <f>L229/O229/H229*100</f>
        <v>0.30463928762082843</v>
      </c>
      <c r="N229" s="2">
        <f>L229*K229</f>
        <v>28148.670176164545</v>
      </c>
      <c r="O229" s="2">
        <v>220</v>
      </c>
      <c r="P229" s="2">
        <f>IF(O229="-","-",IF(N229=0,"-",O229/E229))</f>
        <v>0.73333333333333328</v>
      </c>
      <c r="Q229" s="2">
        <f>IF(O229="-",0,O229/E229)</f>
        <v>0.73333333333333328</v>
      </c>
      <c r="R229" s="2">
        <f>PI()*25^2</f>
        <v>1963.4954084936207</v>
      </c>
      <c r="S229" s="2">
        <f>R229/E229/H229*100</f>
        <v>4.3633231299858242</v>
      </c>
      <c r="T229" s="2">
        <v>360</v>
      </c>
      <c r="U229" s="2">
        <v>1350</v>
      </c>
      <c r="V229" s="2">
        <v>60</v>
      </c>
      <c r="W229" s="2">
        <f>AA229*2</f>
        <v>226.1946710584651</v>
      </c>
      <c r="X229" s="2">
        <f>W229/Z229/H229*100/SIN(AD229*PI()/180)</f>
        <v>0.78984585567259835</v>
      </c>
      <c r="Y229" s="2">
        <f t="shared" si="83"/>
        <v>13571680.263507906</v>
      </c>
      <c r="Z229" s="2">
        <v>270</v>
      </c>
      <c r="AA229" s="2">
        <f>PI()*12^2/4</f>
        <v>113.09733552923255</v>
      </c>
      <c r="AB229" s="2">
        <f>Z229/E229</f>
        <v>0.9</v>
      </c>
      <c r="AC229" s="2">
        <v>1</v>
      </c>
      <c r="AD229" s="2">
        <v>45</v>
      </c>
      <c r="AE229" s="2">
        <v>239</v>
      </c>
    </row>
    <row r="230" spans="1:31" x14ac:dyDescent="0.3">
      <c r="A230" s="2" t="s">
        <v>320</v>
      </c>
      <c r="B230" s="2"/>
      <c r="C230" s="2" t="s">
        <v>33</v>
      </c>
      <c r="D230" s="2">
        <f>53</f>
        <v>53</v>
      </c>
      <c r="E230" s="2">
        <v>300</v>
      </c>
      <c r="F230" s="2">
        <v>350</v>
      </c>
      <c r="G230" s="2">
        <v>100</v>
      </c>
      <c r="H230" s="2">
        <v>150</v>
      </c>
      <c r="I230" s="2">
        <v>400</v>
      </c>
      <c r="J230" s="2">
        <f>750/E230</f>
        <v>2.5</v>
      </c>
      <c r="K230" s="2">
        <v>280</v>
      </c>
      <c r="L230" s="2">
        <f t="shared" si="79"/>
        <v>100.53096491487338</v>
      </c>
      <c r="M230" s="2">
        <f>L230/O230/H230*100</f>
        <v>0.30463928762082843</v>
      </c>
      <c r="N230" s="2">
        <f>L230*K230</f>
        <v>28148.670176164545</v>
      </c>
      <c r="O230" s="2">
        <v>220</v>
      </c>
      <c r="P230" s="2">
        <f>IF(O230="-","-",IF(N230=0,"-",O230/E230))</f>
        <v>0.73333333333333328</v>
      </c>
      <c r="Q230" s="2">
        <f>IF(O230="-",0,O230/E230)</f>
        <v>0.73333333333333328</v>
      </c>
      <c r="R230" s="2">
        <f>PI()*25^2</f>
        <v>1963.4954084936207</v>
      </c>
      <c r="S230" s="2">
        <f>R230/E230/H230*100</f>
        <v>4.3633231299858242</v>
      </c>
      <c r="T230" s="2">
        <v>360</v>
      </c>
      <c r="U230" s="2">
        <v>1350</v>
      </c>
      <c r="V230" s="2">
        <v>60</v>
      </c>
      <c r="W230" s="2">
        <f>AA230*2</f>
        <v>226.1946710584651</v>
      </c>
      <c r="X230" s="2">
        <f>W230/Z230/H230*100/SIN(AD230*PI()/180)</f>
        <v>1.1847687835088976</v>
      </c>
      <c r="Y230" s="2">
        <f t="shared" si="83"/>
        <v>13571680.263507906</v>
      </c>
      <c r="Z230" s="2">
        <v>180</v>
      </c>
      <c r="AA230" s="2">
        <f>PI()*12^2/4</f>
        <v>113.09733552923255</v>
      </c>
      <c r="AB230" s="2">
        <f>Z230/E230</f>
        <v>0.6</v>
      </c>
      <c r="AC230" s="2">
        <v>1</v>
      </c>
      <c r="AD230" s="2">
        <v>45</v>
      </c>
      <c r="AE230" s="2">
        <v>254.35</v>
      </c>
    </row>
    <row r="231" spans="1:31" x14ac:dyDescent="0.3">
      <c r="A231" s="2" t="s">
        <v>235</v>
      </c>
      <c r="B231" s="2" t="s">
        <v>98</v>
      </c>
      <c r="C231" s="2" t="s">
        <v>222</v>
      </c>
      <c r="D231" s="2">
        <f t="shared" ref="D231:D236" si="84">32*0.8</f>
        <v>25.6</v>
      </c>
      <c r="E231" s="2">
        <v>354</v>
      </c>
      <c r="F231" s="2">
        <v>400</v>
      </c>
      <c r="G231" s="2">
        <f t="shared" ref="G231:G236" si="85">IF(B231="T","",0)</f>
        <v>0</v>
      </c>
      <c r="H231" s="2">
        <v>250</v>
      </c>
      <c r="I231" s="2">
        <f t="shared" ref="I231:I236" si="86">IF(G231=0,H231,"")</f>
        <v>250</v>
      </c>
      <c r="J231" s="2">
        <v>2.5</v>
      </c>
      <c r="K231" s="2" t="s">
        <v>210</v>
      </c>
      <c r="L231" s="2" t="s">
        <v>210</v>
      </c>
      <c r="M231" s="2" t="s">
        <v>210</v>
      </c>
      <c r="N231" s="2">
        <v>0</v>
      </c>
      <c r="O231" s="2" t="s">
        <v>210</v>
      </c>
      <c r="P231" s="2" t="s">
        <v>210</v>
      </c>
      <c r="Q231" s="2">
        <v>5</v>
      </c>
      <c r="R231" s="2">
        <f>PI()*22^2</f>
        <v>1520.5308443374599</v>
      </c>
      <c r="S231" s="2">
        <v>1.72</v>
      </c>
      <c r="T231" s="2">
        <v>511</v>
      </c>
      <c r="U231" s="2">
        <v>2700</v>
      </c>
      <c r="V231" s="2">
        <v>193</v>
      </c>
      <c r="W231" s="2">
        <f>Z231*SIN(AD231*PI()/180)*X231*H231/100</f>
        <v>45</v>
      </c>
      <c r="X231" s="2">
        <v>0.09</v>
      </c>
      <c r="Y231" s="2">
        <f t="shared" si="83"/>
        <v>8685000</v>
      </c>
      <c r="Z231" s="2">
        <v>200</v>
      </c>
      <c r="AA231" s="2">
        <f t="shared" ref="AA231:AA236" si="87">W231/2</f>
        <v>22.5</v>
      </c>
      <c r="AB231" s="2">
        <f>Z231/E231</f>
        <v>0.56497175141242939</v>
      </c>
      <c r="AC231" s="2">
        <f t="shared" ref="AC231:AC236" si="88">15/1.5</f>
        <v>10</v>
      </c>
      <c r="AD231" s="2">
        <v>90</v>
      </c>
      <c r="AE231" s="2">
        <v>160.5</v>
      </c>
    </row>
    <row r="232" spans="1:31" x14ac:dyDescent="0.3">
      <c r="A232" s="2" t="s">
        <v>235</v>
      </c>
      <c r="B232" s="2" t="s">
        <v>98</v>
      </c>
      <c r="C232" s="2" t="s">
        <v>223</v>
      </c>
      <c r="D232" s="2">
        <f t="shared" si="84"/>
        <v>25.6</v>
      </c>
      <c r="E232" s="2">
        <v>354</v>
      </c>
      <c r="F232" s="2">
        <v>400</v>
      </c>
      <c r="G232" s="2">
        <f t="shared" si="85"/>
        <v>0</v>
      </c>
      <c r="H232" s="2">
        <v>250</v>
      </c>
      <c r="I232" s="2">
        <f t="shared" si="86"/>
        <v>250</v>
      </c>
      <c r="J232" s="2">
        <v>2.5</v>
      </c>
      <c r="K232" s="2" t="s">
        <v>210</v>
      </c>
      <c r="L232" s="2" t="s">
        <v>210</v>
      </c>
      <c r="M232" s="2" t="s">
        <v>210</v>
      </c>
      <c r="N232" s="2">
        <v>0</v>
      </c>
      <c r="O232" s="2" t="s">
        <v>210</v>
      </c>
      <c r="P232" s="2" t="s">
        <v>210</v>
      </c>
      <c r="Q232" s="2">
        <v>5</v>
      </c>
      <c r="R232" s="2">
        <f>PI()*22^2</f>
        <v>1520.5308443374599</v>
      </c>
      <c r="S232" s="2">
        <v>1.72</v>
      </c>
      <c r="T232" s="2">
        <v>511</v>
      </c>
      <c r="U232" s="2">
        <v>2700</v>
      </c>
      <c r="V232" s="2">
        <v>193</v>
      </c>
      <c r="W232" s="2">
        <f>Z232*SIN(AD232*PI()/180)*X232*H232/100</f>
        <v>45</v>
      </c>
      <c r="X232" s="2">
        <v>0.15</v>
      </c>
      <c r="Y232" s="2">
        <f t="shared" si="83"/>
        <v>8685000</v>
      </c>
      <c r="Z232" s="2">
        <v>120</v>
      </c>
      <c r="AA232" s="2">
        <f t="shared" si="87"/>
        <v>22.5</v>
      </c>
      <c r="AB232" s="2">
        <f>Z232/E232</f>
        <v>0.33898305084745761</v>
      </c>
      <c r="AC232" s="2">
        <f t="shared" si="88"/>
        <v>10</v>
      </c>
      <c r="AD232" s="2">
        <v>90</v>
      </c>
      <c r="AE232" s="2">
        <v>190.6</v>
      </c>
    </row>
    <row r="233" spans="1:31" x14ac:dyDescent="0.3">
      <c r="A233" s="2" t="s">
        <v>235</v>
      </c>
      <c r="B233" s="2" t="s">
        <v>98</v>
      </c>
      <c r="C233" s="2" t="s">
        <v>224</v>
      </c>
      <c r="D233" s="2">
        <f t="shared" si="84"/>
        <v>25.6</v>
      </c>
      <c r="E233" s="2">
        <v>354</v>
      </c>
      <c r="F233" s="2">
        <v>400</v>
      </c>
      <c r="G233" s="2">
        <f t="shared" si="85"/>
        <v>0</v>
      </c>
      <c r="H233" s="2">
        <v>250</v>
      </c>
      <c r="I233" s="2">
        <f t="shared" si="86"/>
        <v>250</v>
      </c>
      <c r="J233" s="2">
        <v>2.5</v>
      </c>
      <c r="K233" s="2" t="s">
        <v>210</v>
      </c>
      <c r="L233" s="2" t="s">
        <v>210</v>
      </c>
      <c r="M233" s="2" t="s">
        <v>210</v>
      </c>
      <c r="N233" s="2">
        <v>0</v>
      </c>
      <c r="O233" s="2" t="s">
        <v>210</v>
      </c>
      <c r="P233" s="2" t="s">
        <v>210</v>
      </c>
      <c r="Q233" s="2">
        <v>5</v>
      </c>
      <c r="R233" s="2">
        <f>PI()*22^2</f>
        <v>1520.5308443374599</v>
      </c>
      <c r="S233" s="2">
        <v>1.72</v>
      </c>
      <c r="T233" s="2">
        <v>511</v>
      </c>
      <c r="U233" s="2">
        <v>2700</v>
      </c>
      <c r="V233" s="2">
        <v>193</v>
      </c>
      <c r="W233" s="2">
        <f>Z233*SIN(AD233*PI()/180)*X233*H233/100</f>
        <v>44</v>
      </c>
      <c r="X233" s="2">
        <v>0.22</v>
      </c>
      <c r="Y233" s="2">
        <f t="shared" si="83"/>
        <v>8492000</v>
      </c>
      <c r="Z233" s="2">
        <v>80</v>
      </c>
      <c r="AA233" s="2">
        <f t="shared" si="87"/>
        <v>22</v>
      </c>
      <c r="AB233" s="2">
        <f>Z233/E233</f>
        <v>0.22598870056497175</v>
      </c>
      <c r="AC233" s="2">
        <f t="shared" si="88"/>
        <v>10</v>
      </c>
      <c r="AD233" s="2">
        <v>90</v>
      </c>
      <c r="AE233" s="2">
        <v>193.1</v>
      </c>
    </row>
    <row r="234" spans="1:31" x14ac:dyDescent="0.3">
      <c r="A234" s="2" t="s">
        <v>235</v>
      </c>
      <c r="B234" s="2" t="s">
        <v>98</v>
      </c>
      <c r="C234" s="2" t="s">
        <v>225</v>
      </c>
      <c r="D234" s="2">
        <f t="shared" si="84"/>
        <v>25.6</v>
      </c>
      <c r="E234" s="2">
        <v>354</v>
      </c>
      <c r="F234" s="2">
        <v>400</v>
      </c>
      <c r="G234" s="2">
        <f t="shared" si="85"/>
        <v>0</v>
      </c>
      <c r="H234" s="2">
        <v>250</v>
      </c>
      <c r="I234" s="2">
        <f t="shared" si="86"/>
        <v>250</v>
      </c>
      <c r="J234" s="2">
        <v>2</v>
      </c>
      <c r="K234" s="2" t="s">
        <v>210</v>
      </c>
      <c r="L234" s="2" t="s">
        <v>210</v>
      </c>
      <c r="M234" s="2" t="s">
        <v>210</v>
      </c>
      <c r="N234" s="2">
        <v>0</v>
      </c>
      <c r="O234" s="2" t="s">
        <v>210</v>
      </c>
      <c r="P234" s="2" t="s">
        <v>210</v>
      </c>
      <c r="Q234" s="2">
        <v>5</v>
      </c>
      <c r="R234" s="2">
        <f>PI()*22^2</f>
        <v>1520.5308443374599</v>
      </c>
      <c r="S234" s="2">
        <v>1.72</v>
      </c>
      <c r="T234" s="2">
        <v>511</v>
      </c>
      <c r="U234" s="2">
        <v>2700</v>
      </c>
      <c r="V234" s="2">
        <v>193</v>
      </c>
      <c r="W234" s="2">
        <f>Z234*SIN(AD234*PI()/180)*X234*H234/100</f>
        <v>45.5</v>
      </c>
      <c r="X234" s="2">
        <v>0.13</v>
      </c>
      <c r="Y234" s="2">
        <f t="shared" si="83"/>
        <v>8781500</v>
      </c>
      <c r="Z234" s="2">
        <v>140</v>
      </c>
      <c r="AA234" s="2">
        <f t="shared" si="87"/>
        <v>22.75</v>
      </c>
      <c r="AB234" s="2">
        <f>Z234/E234</f>
        <v>0.39548022598870058</v>
      </c>
      <c r="AC234" s="2">
        <f t="shared" si="88"/>
        <v>10</v>
      </c>
      <c r="AD234" s="2">
        <v>90</v>
      </c>
      <c r="AE234" s="2">
        <v>218.9</v>
      </c>
    </row>
    <row r="235" spans="1:31" x14ac:dyDescent="0.3">
      <c r="A235" s="2" t="s">
        <v>235</v>
      </c>
      <c r="B235" s="2" t="s">
        <v>98</v>
      </c>
      <c r="C235" s="2" t="s">
        <v>226</v>
      </c>
      <c r="D235" s="2">
        <f t="shared" si="84"/>
        <v>25.6</v>
      </c>
      <c r="E235" s="2">
        <v>354</v>
      </c>
      <c r="F235" s="2">
        <v>400</v>
      </c>
      <c r="G235" s="2">
        <f t="shared" si="85"/>
        <v>0</v>
      </c>
      <c r="H235" s="2">
        <v>250</v>
      </c>
      <c r="I235" s="2">
        <f t="shared" si="86"/>
        <v>250</v>
      </c>
      <c r="J235" s="2">
        <v>2</v>
      </c>
      <c r="K235" s="2" t="s">
        <v>210</v>
      </c>
      <c r="L235" s="2" t="s">
        <v>210</v>
      </c>
      <c r="M235" s="2" t="s">
        <v>210</v>
      </c>
      <c r="N235" s="2">
        <v>0</v>
      </c>
      <c r="O235" s="2" t="s">
        <v>210</v>
      </c>
      <c r="P235" s="2" t="s">
        <v>210</v>
      </c>
      <c r="Q235" s="2">
        <v>5</v>
      </c>
      <c r="R235" s="2">
        <f>PI()*22^2</f>
        <v>1520.5308443374599</v>
      </c>
      <c r="S235" s="2">
        <v>1.72</v>
      </c>
      <c r="T235" s="2">
        <v>511</v>
      </c>
      <c r="U235" s="2">
        <v>2700</v>
      </c>
      <c r="V235" s="2">
        <v>193</v>
      </c>
      <c r="W235" s="2">
        <f>Z235*SIN(AD235*PI()/180)*X235*H235/100</f>
        <v>44.624999999999993</v>
      </c>
      <c r="X235" s="2">
        <v>0.21</v>
      </c>
      <c r="Y235" s="2">
        <f t="shared" si="83"/>
        <v>8612624.9999999981</v>
      </c>
      <c r="Z235" s="2">
        <v>85</v>
      </c>
      <c r="AA235" s="2">
        <f t="shared" si="87"/>
        <v>22.312499999999996</v>
      </c>
      <c r="AB235" s="2">
        <f>Z235/E235</f>
        <v>0.24011299435028249</v>
      </c>
      <c r="AC235" s="2">
        <f t="shared" si="88"/>
        <v>10</v>
      </c>
      <c r="AD235" s="2">
        <v>90</v>
      </c>
      <c r="AE235" s="2">
        <v>231</v>
      </c>
    </row>
    <row r="236" spans="1:31" x14ac:dyDescent="0.3">
      <c r="A236" s="2" t="s">
        <v>235</v>
      </c>
      <c r="B236" s="2" t="s">
        <v>98</v>
      </c>
      <c r="C236" s="2" t="s">
        <v>227</v>
      </c>
      <c r="D236" s="2">
        <f t="shared" si="84"/>
        <v>25.6</v>
      </c>
      <c r="E236" s="2">
        <v>327</v>
      </c>
      <c r="F236" s="2">
        <v>400</v>
      </c>
      <c r="G236" s="2">
        <f t="shared" si="85"/>
        <v>0</v>
      </c>
      <c r="H236" s="2">
        <v>250</v>
      </c>
      <c r="I236" s="2">
        <f t="shared" si="86"/>
        <v>250</v>
      </c>
      <c r="J236" s="2">
        <v>3</v>
      </c>
      <c r="K236" s="2">
        <v>374</v>
      </c>
      <c r="L236" s="2">
        <f>IF(M236="-",0,M236*O236*H236)/100</f>
        <v>99.75</v>
      </c>
      <c r="M236" s="2">
        <v>0.38</v>
      </c>
      <c r="N236" s="2">
        <f>L236*K236</f>
        <v>37306.5</v>
      </c>
      <c r="O236" s="2">
        <v>105</v>
      </c>
      <c r="P236" s="2">
        <f>IF(O236="-","-",O236/E236)</f>
        <v>0.32110091743119268</v>
      </c>
      <c r="Q236" s="2">
        <f>IF(O236="-",0,O236/E236)</f>
        <v>0.32110091743119268</v>
      </c>
      <c r="R236" s="2">
        <f>S236*E236*H236/100</f>
        <v>2280.8249999999998</v>
      </c>
      <c r="S236" s="2">
        <v>2.79</v>
      </c>
      <c r="T236" s="2">
        <v>511</v>
      </c>
      <c r="U236" s="2">
        <v>2700</v>
      </c>
      <c r="V236" s="2">
        <v>193</v>
      </c>
      <c r="W236" s="2">
        <f>Z236*SIN(AD236*PI()/180)*X236*H236/100</f>
        <v>45.5</v>
      </c>
      <c r="X236" s="2">
        <v>0.13</v>
      </c>
      <c r="Y236" s="2">
        <f t="shared" si="83"/>
        <v>8781500</v>
      </c>
      <c r="Z236" s="2">
        <v>140</v>
      </c>
      <c r="AA236" s="2">
        <f t="shared" si="87"/>
        <v>22.75</v>
      </c>
      <c r="AB236" s="2">
        <f>Z236/E236</f>
        <v>0.42813455657492355</v>
      </c>
      <c r="AC236" s="2">
        <f t="shared" si="88"/>
        <v>10</v>
      </c>
      <c r="AD236" s="2">
        <v>90</v>
      </c>
      <c r="AE236" s="2">
        <v>261.8</v>
      </c>
    </row>
    <row r="237" spans="1:31" x14ac:dyDescent="0.3">
      <c r="A237" s="2" t="s">
        <v>238</v>
      </c>
      <c r="B237" s="2" t="s">
        <v>98</v>
      </c>
      <c r="C237" s="2" t="s">
        <v>295</v>
      </c>
      <c r="D237" s="2">
        <f>0.8*33</f>
        <v>26.400000000000002</v>
      </c>
      <c r="E237" s="2">
        <v>262</v>
      </c>
      <c r="F237" s="2">
        <v>300</v>
      </c>
      <c r="G237" s="2">
        <v>0</v>
      </c>
      <c r="H237" s="2">
        <v>200</v>
      </c>
      <c r="I237" s="2">
        <v>200</v>
      </c>
      <c r="J237" s="2">
        <f>700/E237</f>
        <v>2.6717557251908395</v>
      </c>
      <c r="K237" s="2" t="s">
        <v>210</v>
      </c>
      <c r="L237" s="2" t="s">
        <v>210</v>
      </c>
      <c r="M237" s="2" t="s">
        <v>210</v>
      </c>
      <c r="N237" s="2">
        <v>0</v>
      </c>
      <c r="O237" s="2" t="s">
        <v>210</v>
      </c>
      <c r="P237" s="2" t="s">
        <v>210</v>
      </c>
      <c r="Q237" s="2">
        <v>5</v>
      </c>
      <c r="R237" s="2">
        <f>3*PI()/4*20^2</f>
        <v>942.47779607693792</v>
      </c>
      <c r="S237" s="2">
        <f>R237/E237/H237*100</f>
        <v>1.7986217482384312</v>
      </c>
      <c r="T237" s="2">
        <v>380</v>
      </c>
      <c r="U237" s="2" t="s">
        <v>210</v>
      </c>
      <c r="V237" s="2" t="s">
        <v>210</v>
      </c>
      <c r="W237" s="2">
        <v>0</v>
      </c>
      <c r="X237" s="2">
        <v>0</v>
      </c>
      <c r="Y237" s="2">
        <v>0</v>
      </c>
      <c r="Z237" s="2" t="s">
        <v>210</v>
      </c>
      <c r="AA237" s="2" t="s">
        <v>210</v>
      </c>
      <c r="AB237" s="2">
        <v>5</v>
      </c>
      <c r="AC237" s="2">
        <v>1</v>
      </c>
      <c r="AD237" s="2">
        <v>90</v>
      </c>
      <c r="AE237" s="2">
        <f>125/2</f>
        <v>62.5</v>
      </c>
    </row>
    <row r="238" spans="1:31" x14ac:dyDescent="0.3">
      <c r="A238" s="2" t="s">
        <v>238</v>
      </c>
      <c r="B238" s="2" t="s">
        <v>98</v>
      </c>
      <c r="C238" s="2" t="s">
        <v>296</v>
      </c>
      <c r="D238" s="2">
        <f>0.8*32.5</f>
        <v>26</v>
      </c>
      <c r="E238" s="2">
        <v>262</v>
      </c>
      <c r="F238" s="2">
        <v>300</v>
      </c>
      <c r="G238" s="2">
        <v>0</v>
      </c>
      <c r="H238" s="2">
        <v>200</v>
      </c>
      <c r="I238" s="2">
        <v>200</v>
      </c>
      <c r="J238" s="2">
        <f>700/E238</f>
        <v>2.6717557251908395</v>
      </c>
      <c r="K238" s="2">
        <v>240</v>
      </c>
      <c r="L238" s="2">
        <f>PI()*8^2/2</f>
        <v>100.53096491487338</v>
      </c>
      <c r="M238" s="2">
        <f>L238/O238/H238*100</f>
        <v>0.26455517082861418</v>
      </c>
      <c r="N238" s="2">
        <f>L238*K238</f>
        <v>24127.431579569609</v>
      </c>
      <c r="O238" s="2">
        <v>190</v>
      </c>
      <c r="P238" s="2">
        <f>IF(O238="-","-",IF(N238=0,"-",O238/E238))</f>
        <v>0.72519083969465647</v>
      </c>
      <c r="Q238" s="2">
        <f>IF(O238="-",0,O238/E238)</f>
        <v>0.72519083969465647</v>
      </c>
      <c r="R238" s="2">
        <f>3*PI()/4*20^2</f>
        <v>942.47779607693792</v>
      </c>
      <c r="S238" s="2">
        <f>R238/E238/H238*100</f>
        <v>1.7986217482384312</v>
      </c>
      <c r="T238" s="2">
        <v>380</v>
      </c>
      <c r="U238" s="2" t="s">
        <v>210</v>
      </c>
      <c r="V238" s="2" t="s">
        <v>210</v>
      </c>
      <c r="W238" s="2">
        <v>0</v>
      </c>
      <c r="X238" s="2">
        <v>0</v>
      </c>
      <c r="Y238" s="2">
        <v>0</v>
      </c>
      <c r="Z238" s="2" t="s">
        <v>210</v>
      </c>
      <c r="AA238" s="2" t="s">
        <v>210</v>
      </c>
      <c r="AB238" s="2">
        <v>5</v>
      </c>
      <c r="AC238" s="2">
        <v>1</v>
      </c>
      <c r="AD238" s="2">
        <v>90</v>
      </c>
      <c r="AE238" s="2">
        <f>184/2</f>
        <v>92</v>
      </c>
    </row>
    <row r="239" spans="1:31" x14ac:dyDescent="0.3">
      <c r="A239" s="2" t="s">
        <v>238</v>
      </c>
      <c r="B239" s="2" t="s">
        <v>98</v>
      </c>
      <c r="C239" s="2" t="s">
        <v>232</v>
      </c>
      <c r="D239" s="2">
        <f>0.8*32</f>
        <v>25.6</v>
      </c>
      <c r="E239" s="2">
        <v>262</v>
      </c>
      <c r="F239" s="2">
        <v>300</v>
      </c>
      <c r="G239" s="2">
        <v>0</v>
      </c>
      <c r="H239" s="2">
        <v>200</v>
      </c>
      <c r="I239" s="2">
        <v>200</v>
      </c>
      <c r="J239" s="2">
        <f>700/E239</f>
        <v>2.6717557251908395</v>
      </c>
      <c r="K239" s="2" t="s">
        <v>210</v>
      </c>
      <c r="L239" s="2" t="s">
        <v>210</v>
      </c>
      <c r="M239" s="2" t="s">
        <v>210</v>
      </c>
      <c r="N239" s="2">
        <v>0</v>
      </c>
      <c r="O239" s="2" t="s">
        <v>210</v>
      </c>
      <c r="P239" s="2" t="s">
        <v>210</v>
      </c>
      <c r="Q239" s="2">
        <v>5</v>
      </c>
      <c r="R239" s="2">
        <f>3*PI()/4*20^2</f>
        <v>942.47779607693792</v>
      </c>
      <c r="S239" s="2">
        <f>R239/E239/H239*100</f>
        <v>1.7986217482384312</v>
      </c>
      <c r="T239" s="2">
        <v>380</v>
      </c>
      <c r="U239" s="2">
        <v>3900</v>
      </c>
      <c r="V239" s="2">
        <v>228</v>
      </c>
      <c r="W239" s="2">
        <f t="shared" ref="W239:W246" si="89">AA239*2</f>
        <v>16</v>
      </c>
      <c r="X239" s="2">
        <f>W239/Z239/H239*100/SIN(AD239*PI()/180)</f>
        <v>6.1538461538461542E-2</v>
      </c>
      <c r="Y239" s="2">
        <f t="shared" ref="Y239:Y248" si="90">W239*V239*1000</f>
        <v>3648000</v>
      </c>
      <c r="Z239" s="2">
        <v>130</v>
      </c>
      <c r="AA239" s="2">
        <v>8</v>
      </c>
      <c r="AB239" s="2">
        <f>Z239/E239</f>
        <v>0.49618320610687022</v>
      </c>
      <c r="AC239" s="2">
        <v>2</v>
      </c>
      <c r="AD239" s="2">
        <v>90</v>
      </c>
      <c r="AE239" s="2">
        <v>105</v>
      </c>
    </row>
    <row r="240" spans="1:31" x14ac:dyDescent="0.3">
      <c r="A240" s="2" t="s">
        <v>238</v>
      </c>
      <c r="B240" s="2" t="s">
        <v>98</v>
      </c>
      <c r="C240" s="2" t="s">
        <v>233</v>
      </c>
      <c r="D240" s="2">
        <f>0.8*34</f>
        <v>27.200000000000003</v>
      </c>
      <c r="E240" s="2">
        <v>262</v>
      </c>
      <c r="F240" s="2">
        <v>300</v>
      </c>
      <c r="G240" s="2">
        <v>0</v>
      </c>
      <c r="H240" s="2">
        <v>200</v>
      </c>
      <c r="I240" s="2">
        <v>200</v>
      </c>
      <c r="J240" s="2">
        <f>700/E240</f>
        <v>2.6717557251908395</v>
      </c>
      <c r="K240" s="2">
        <v>240</v>
      </c>
      <c r="L240" s="2">
        <f>PI()*8^2/2</f>
        <v>100.53096491487338</v>
      </c>
      <c r="M240" s="2">
        <f>L240/O240/H240*100</f>
        <v>0.26455517082861418</v>
      </c>
      <c r="N240" s="2">
        <f>L240*K240</f>
        <v>24127.431579569609</v>
      </c>
      <c r="O240" s="2">
        <v>190</v>
      </c>
      <c r="P240" s="2">
        <f>IF(O240="-","-",IF(N240=0,"-",O240/E240))</f>
        <v>0.72519083969465647</v>
      </c>
      <c r="Q240" s="2">
        <f>IF(O240="-",0,O240/E240)</f>
        <v>0.72519083969465647</v>
      </c>
      <c r="R240" s="2">
        <f>3*PI()/4*20^2</f>
        <v>942.47779607693792</v>
      </c>
      <c r="S240" s="2">
        <f>R240/E240/H240*100</f>
        <v>1.7986217482384312</v>
      </c>
      <c r="T240" s="2">
        <v>380</v>
      </c>
      <c r="U240" s="2">
        <v>3900</v>
      </c>
      <c r="V240" s="2">
        <v>228</v>
      </c>
      <c r="W240" s="2">
        <f t="shared" si="89"/>
        <v>16</v>
      </c>
      <c r="X240" s="2">
        <f>W240/Z240/H240*100/SIN(AD240*PI()/180)</f>
        <v>6.1538461538461542E-2</v>
      </c>
      <c r="Y240" s="2">
        <f t="shared" si="90"/>
        <v>3648000</v>
      </c>
      <c r="Z240" s="2">
        <v>130</v>
      </c>
      <c r="AA240" s="2">
        <v>8</v>
      </c>
      <c r="AB240" s="2">
        <f>Z240/E240</f>
        <v>0.49618320610687022</v>
      </c>
      <c r="AC240" s="2">
        <v>2</v>
      </c>
      <c r="AD240" s="2">
        <v>90</v>
      </c>
      <c r="AE240" s="2">
        <v>131</v>
      </c>
    </row>
    <row r="241" spans="1:31" x14ac:dyDescent="0.3">
      <c r="A241" s="2" t="s">
        <v>90</v>
      </c>
      <c r="B241" s="2" t="s">
        <v>98</v>
      </c>
      <c r="C241" s="2" t="s">
        <v>141</v>
      </c>
      <c r="D241" s="2">
        <v>30</v>
      </c>
      <c r="E241" s="2">
        <v>100</v>
      </c>
      <c r="F241" s="2">
        <v>130</v>
      </c>
      <c r="G241" s="2">
        <v>0</v>
      </c>
      <c r="H241" s="2">
        <v>130</v>
      </c>
      <c r="I241" s="2">
        <f t="shared" ref="I241:I257" si="91">IF(G241=0,H241,"")</f>
        <v>130</v>
      </c>
      <c r="J241" s="2">
        <v>3</v>
      </c>
      <c r="K241" s="2">
        <v>415</v>
      </c>
      <c r="L241" s="2">
        <f t="shared" ref="L241:L259" si="92">2*PI()*6^2/4</f>
        <v>56.548667764616276</v>
      </c>
      <c r="M241" s="2">
        <f>L241/O241/H241*100</f>
        <v>0.43498975203550988</v>
      </c>
      <c r="N241" s="2">
        <f>L241*K241</f>
        <v>23467.697122315756</v>
      </c>
      <c r="O241" s="2">
        <v>100</v>
      </c>
      <c r="P241" s="2">
        <f>IF(O241="-","-",O241/E241)</f>
        <v>1</v>
      </c>
      <c r="Q241" s="2">
        <f>IF(O241="-",0,O241/E241)</f>
        <v>1</v>
      </c>
      <c r="R241" s="2">
        <f>IF(S241="-",0,S241*E241*H241/100)</f>
        <v>226.2</v>
      </c>
      <c r="S241" s="2">
        <v>1.74</v>
      </c>
      <c r="T241" s="2">
        <v>415</v>
      </c>
      <c r="U241" s="2">
        <v>1016</v>
      </c>
      <c r="V241" s="2">
        <v>44</v>
      </c>
      <c r="W241" s="2">
        <f t="shared" si="89"/>
        <v>100.53096491487338</v>
      </c>
      <c r="X241" s="2">
        <f>W241/Z241/H241*100/SIN(AD241*PI()/180)</f>
        <v>1.5466302294595906</v>
      </c>
      <c r="Y241" s="2">
        <f t="shared" si="90"/>
        <v>4423362.4562544283</v>
      </c>
      <c r="Z241" s="2">
        <v>50</v>
      </c>
      <c r="AA241" s="2">
        <f>PI()*8^2/4</f>
        <v>50.26548245743669</v>
      </c>
      <c r="AB241" s="2">
        <f>Z241/E241</f>
        <v>0.5</v>
      </c>
      <c r="AC241" s="2">
        <v>1</v>
      </c>
      <c r="AD241" s="2">
        <v>90</v>
      </c>
      <c r="AE241" s="2">
        <v>89.39</v>
      </c>
    </row>
    <row r="242" spans="1:31" x14ac:dyDescent="0.3">
      <c r="A242" s="2" t="s">
        <v>90</v>
      </c>
      <c r="B242" s="2" t="s">
        <v>98</v>
      </c>
      <c r="C242" s="2" t="s">
        <v>142</v>
      </c>
      <c r="D242" s="2">
        <v>30</v>
      </c>
      <c r="E242" s="2">
        <v>100</v>
      </c>
      <c r="F242" s="2">
        <v>130</v>
      </c>
      <c r="G242" s="2">
        <v>0</v>
      </c>
      <c r="H242" s="2">
        <v>130</v>
      </c>
      <c r="I242" s="2">
        <f t="shared" si="91"/>
        <v>130</v>
      </c>
      <c r="J242" s="2">
        <v>3</v>
      </c>
      <c r="K242" s="2">
        <v>415</v>
      </c>
      <c r="L242" s="2">
        <f t="shared" si="92"/>
        <v>56.548667764616276</v>
      </c>
      <c r="M242" s="2">
        <f>L242/O242/H242*100</f>
        <v>0.43498975203550988</v>
      </c>
      <c r="N242" s="2">
        <f>L242*K242</f>
        <v>23467.697122315756</v>
      </c>
      <c r="O242" s="2">
        <v>100</v>
      </c>
      <c r="P242" s="2">
        <f>IF(O242="-","-",O242/E242)</f>
        <v>1</v>
      </c>
      <c r="Q242" s="2">
        <f>IF(O242="-",0,O242/E242)</f>
        <v>1</v>
      </c>
      <c r="R242" s="2">
        <f>IF(S242="-",0,S242*E242*H242/100)</f>
        <v>226.2</v>
      </c>
      <c r="S242" s="2">
        <v>1.74</v>
      </c>
      <c r="T242" s="2">
        <v>415</v>
      </c>
      <c r="U242" s="2">
        <v>1016</v>
      </c>
      <c r="V242" s="2">
        <v>44</v>
      </c>
      <c r="W242" s="2">
        <f t="shared" si="89"/>
        <v>100.53096491487338</v>
      </c>
      <c r="X242" s="2">
        <f>W242/Z242/H242*100/SIN(AD242*PI()/180)</f>
        <v>1.5466302294595906</v>
      </c>
      <c r="Y242" s="2">
        <f t="shared" si="90"/>
        <v>4423362.4562544283</v>
      </c>
      <c r="Z242" s="2">
        <v>50</v>
      </c>
      <c r="AA242" s="2">
        <f>PI()*8^2/4</f>
        <v>50.26548245743669</v>
      </c>
      <c r="AB242" s="2">
        <f>Z242/E242</f>
        <v>0.5</v>
      </c>
      <c r="AC242" s="2">
        <v>1</v>
      </c>
      <c r="AD242" s="2">
        <v>90</v>
      </c>
      <c r="AE242" s="2">
        <v>94.43</v>
      </c>
    </row>
    <row r="243" spans="1:31" x14ac:dyDescent="0.3">
      <c r="A243" s="2" t="s">
        <v>90</v>
      </c>
      <c r="B243" s="2" t="s">
        <v>98</v>
      </c>
      <c r="C243" s="2" t="s">
        <v>143</v>
      </c>
      <c r="D243" s="2">
        <v>30</v>
      </c>
      <c r="E243" s="2">
        <v>100</v>
      </c>
      <c r="F243" s="2">
        <v>130</v>
      </c>
      <c r="G243" s="2">
        <v>0</v>
      </c>
      <c r="H243" s="2">
        <v>130</v>
      </c>
      <c r="I243" s="2">
        <f t="shared" si="91"/>
        <v>130</v>
      </c>
      <c r="J243" s="2">
        <v>3</v>
      </c>
      <c r="K243" s="2">
        <v>415</v>
      </c>
      <c r="L243" s="2">
        <f t="shared" si="92"/>
        <v>56.548667764616276</v>
      </c>
      <c r="M243" s="2">
        <f>L243/O243/H243*100</f>
        <v>0.43498975203550988</v>
      </c>
      <c r="N243" s="2">
        <f>L243*K243</f>
        <v>23467.697122315756</v>
      </c>
      <c r="O243" s="2">
        <v>100</v>
      </c>
      <c r="P243" s="2">
        <f>IF(O243="-","-",O243/E243)</f>
        <v>1</v>
      </c>
      <c r="Q243" s="2">
        <f>IF(O243="-",0,O243/E243)</f>
        <v>1</v>
      </c>
      <c r="R243" s="2">
        <f>IF(S243="-",0,S243*E243*H243/100)</f>
        <v>226.2</v>
      </c>
      <c r="S243" s="2">
        <v>1.74</v>
      </c>
      <c r="T243" s="2">
        <v>415</v>
      </c>
      <c r="U243" s="2">
        <v>1016</v>
      </c>
      <c r="V243" s="2">
        <v>44</v>
      </c>
      <c r="W243" s="2">
        <f t="shared" si="89"/>
        <v>157.07963267948966</v>
      </c>
      <c r="X243" s="2">
        <f>W243/Z243/H243*100/SIN(AD243*PI()/180)</f>
        <v>2.4166097335306098</v>
      </c>
      <c r="Y243" s="2">
        <f t="shared" si="90"/>
        <v>6911503.8378975447</v>
      </c>
      <c r="Z243" s="2">
        <v>50</v>
      </c>
      <c r="AA243" s="2">
        <f>PI()*10^2/4</f>
        <v>78.539816339744831</v>
      </c>
      <c r="AB243" s="2">
        <f>Z243/E243</f>
        <v>0.5</v>
      </c>
      <c r="AC243" s="2">
        <v>1</v>
      </c>
      <c r="AD243" s="2">
        <v>90</v>
      </c>
      <c r="AE243" s="2">
        <v>94.91</v>
      </c>
    </row>
    <row r="244" spans="1:31" x14ac:dyDescent="0.3">
      <c r="A244" s="2" t="s">
        <v>90</v>
      </c>
      <c r="B244" s="2" t="s">
        <v>98</v>
      </c>
      <c r="C244" s="2" t="s">
        <v>144</v>
      </c>
      <c r="D244" s="2">
        <v>30</v>
      </c>
      <c r="E244" s="2">
        <v>100</v>
      </c>
      <c r="F244" s="2">
        <v>130</v>
      </c>
      <c r="G244" s="2">
        <v>0</v>
      </c>
      <c r="H244" s="2">
        <v>130</v>
      </c>
      <c r="I244" s="2">
        <f t="shared" si="91"/>
        <v>130</v>
      </c>
      <c r="J244" s="2">
        <v>3</v>
      </c>
      <c r="K244" s="2">
        <v>415</v>
      </c>
      <c r="L244" s="2">
        <f t="shared" si="92"/>
        <v>56.548667764616276</v>
      </c>
      <c r="M244" s="2">
        <f>L244/O244/H244*100</f>
        <v>0.43498975203550988</v>
      </c>
      <c r="N244" s="2">
        <f>L244*K244</f>
        <v>23467.697122315756</v>
      </c>
      <c r="O244" s="2">
        <v>100</v>
      </c>
      <c r="P244" s="2">
        <f>IF(O244="-","-",O244/E244)</f>
        <v>1</v>
      </c>
      <c r="Q244" s="2">
        <f>IF(O244="-",0,O244/E244)</f>
        <v>1</v>
      </c>
      <c r="R244" s="2">
        <f>IF(S244="-",0,S244*E244*H244/100)</f>
        <v>226.2</v>
      </c>
      <c r="S244" s="2">
        <v>1.74</v>
      </c>
      <c r="T244" s="2">
        <v>415</v>
      </c>
      <c r="U244" s="2">
        <v>1016</v>
      </c>
      <c r="V244" s="2">
        <v>44</v>
      </c>
      <c r="W244" s="2">
        <f t="shared" si="89"/>
        <v>157.07963267948966</v>
      </c>
      <c r="X244" s="2">
        <f>W244/Z244/H244*100/SIN(AD244*PI()/180)</f>
        <v>2.4166097335306098</v>
      </c>
      <c r="Y244" s="2">
        <f t="shared" si="90"/>
        <v>6911503.8378975447</v>
      </c>
      <c r="Z244" s="2">
        <v>50</v>
      </c>
      <c r="AA244" s="2">
        <f>PI()*10^2/4</f>
        <v>78.539816339744831</v>
      </c>
      <c r="AB244" s="2">
        <f>Z244/E244</f>
        <v>0.5</v>
      </c>
      <c r="AC244" s="2">
        <v>1</v>
      </c>
      <c r="AD244" s="2">
        <v>90</v>
      </c>
      <c r="AE244" s="2">
        <v>90.24</v>
      </c>
    </row>
    <row r="245" spans="1:31" x14ac:dyDescent="0.3">
      <c r="A245" s="2" t="s">
        <v>90</v>
      </c>
      <c r="B245" s="2" t="s">
        <v>98</v>
      </c>
      <c r="C245" s="2" t="s">
        <v>145</v>
      </c>
      <c r="D245" s="2">
        <v>30</v>
      </c>
      <c r="E245" s="2">
        <v>100</v>
      </c>
      <c r="F245" s="2">
        <v>130</v>
      </c>
      <c r="G245" s="2">
        <v>0</v>
      </c>
      <c r="H245" s="2">
        <v>130</v>
      </c>
      <c r="I245" s="2">
        <f t="shared" si="91"/>
        <v>130</v>
      </c>
      <c r="J245" s="2">
        <v>3.45</v>
      </c>
      <c r="K245" s="2">
        <v>415</v>
      </c>
      <c r="L245" s="2">
        <f t="shared" si="92"/>
        <v>56.548667764616276</v>
      </c>
      <c r="M245" s="2">
        <f>L245/O245/H245*100</f>
        <v>0.43498975203550988</v>
      </c>
      <c r="N245" s="2">
        <f>L245*K245</f>
        <v>23467.697122315756</v>
      </c>
      <c r="O245" s="2">
        <v>100</v>
      </c>
      <c r="P245" s="2">
        <f>IF(O245="-","-",O245/E245)</f>
        <v>1</v>
      </c>
      <c r="Q245" s="2">
        <f>IF(O245="-",0,O245/E245)</f>
        <v>1</v>
      </c>
      <c r="R245" s="2">
        <f>IF(S245="-",0,S245*E245*H245/100)</f>
        <v>226.2</v>
      </c>
      <c r="S245" s="2">
        <v>1.74</v>
      </c>
      <c r="T245" s="2">
        <v>415</v>
      </c>
      <c r="U245" s="2">
        <v>1016</v>
      </c>
      <c r="V245" s="2">
        <v>44</v>
      </c>
      <c r="W245" s="2">
        <f t="shared" si="89"/>
        <v>100.53096491487338</v>
      </c>
      <c r="X245" s="2">
        <f>W245/Z245/H245*100/SIN(AD245*PI()/180)</f>
        <v>1.0936327232389826</v>
      </c>
      <c r="Y245" s="2">
        <f t="shared" si="90"/>
        <v>4423362.4562544283</v>
      </c>
      <c r="Z245" s="2">
        <v>100</v>
      </c>
      <c r="AA245" s="2">
        <f>PI()*8^2/4</f>
        <v>50.26548245743669</v>
      </c>
      <c r="AB245" s="2">
        <f>Z245/E245</f>
        <v>1</v>
      </c>
      <c r="AC245" s="2">
        <v>1</v>
      </c>
      <c r="AD245" s="2">
        <v>45</v>
      </c>
      <c r="AE245" s="2">
        <v>87.66</v>
      </c>
    </row>
    <row r="246" spans="1:31" x14ac:dyDescent="0.3">
      <c r="A246" s="2" t="s">
        <v>90</v>
      </c>
      <c r="B246" s="2" t="s">
        <v>98</v>
      </c>
      <c r="C246" s="2" t="s">
        <v>146</v>
      </c>
      <c r="D246" s="2">
        <v>30</v>
      </c>
      <c r="E246" s="2">
        <v>100</v>
      </c>
      <c r="F246" s="2">
        <v>130</v>
      </c>
      <c r="G246" s="2">
        <v>0</v>
      </c>
      <c r="H246" s="2">
        <v>130</v>
      </c>
      <c r="I246" s="2">
        <f t="shared" si="91"/>
        <v>130</v>
      </c>
      <c r="J246" s="2">
        <v>3.45</v>
      </c>
      <c r="K246" s="2">
        <v>415</v>
      </c>
      <c r="L246" s="2">
        <f t="shared" si="92"/>
        <v>56.548667764616276</v>
      </c>
      <c r="M246" s="2">
        <f>L246/O246/H246*100</f>
        <v>0.43498975203550988</v>
      </c>
      <c r="N246" s="2">
        <f>L246*K246</f>
        <v>23467.697122315756</v>
      </c>
      <c r="O246" s="2">
        <v>100</v>
      </c>
      <c r="P246" s="2">
        <f>IF(O246="-","-",O246/E246)</f>
        <v>1</v>
      </c>
      <c r="Q246" s="2">
        <f>IF(O246="-",0,O246/E246)</f>
        <v>1</v>
      </c>
      <c r="R246" s="2">
        <f>IF(S246="-",0,S246*E246*H246/100)</f>
        <v>226.2</v>
      </c>
      <c r="S246" s="2">
        <v>1.74</v>
      </c>
      <c r="T246" s="2">
        <v>415</v>
      </c>
      <c r="U246" s="2">
        <v>1016</v>
      </c>
      <c r="V246" s="2">
        <v>44</v>
      </c>
      <c r="W246" s="2">
        <f t="shared" si="89"/>
        <v>157.07963267948966</v>
      </c>
      <c r="X246" s="2">
        <f>W246/Z246/H246*100/SIN(AD246*PI()/180)</f>
        <v>1.7088011300609101</v>
      </c>
      <c r="Y246" s="2">
        <f t="shared" si="90"/>
        <v>6911503.8378975447</v>
      </c>
      <c r="Z246" s="2">
        <v>100</v>
      </c>
      <c r="AA246" s="2">
        <f>PI()*10^2/4</f>
        <v>78.539816339744831</v>
      </c>
      <c r="AB246" s="2">
        <f>Z246/E246</f>
        <v>1</v>
      </c>
      <c r="AC246" s="2">
        <v>1</v>
      </c>
      <c r="AD246" s="2">
        <v>45</v>
      </c>
      <c r="AE246" s="2">
        <v>75.11</v>
      </c>
    </row>
    <row r="247" spans="1:31" x14ac:dyDescent="0.3">
      <c r="A247" s="2" t="s">
        <v>90</v>
      </c>
      <c r="B247" s="2" t="s">
        <v>98</v>
      </c>
      <c r="C247" s="2" t="s">
        <v>147</v>
      </c>
      <c r="D247" s="2">
        <v>30</v>
      </c>
      <c r="E247" s="2">
        <v>100</v>
      </c>
      <c r="F247" s="2">
        <v>130</v>
      </c>
      <c r="G247" s="2">
        <v>0</v>
      </c>
      <c r="H247" s="2">
        <v>130</v>
      </c>
      <c r="I247" s="2">
        <f t="shared" si="91"/>
        <v>130</v>
      </c>
      <c r="J247" s="2">
        <v>3.45</v>
      </c>
      <c r="K247" s="2">
        <v>415</v>
      </c>
      <c r="L247" s="2">
        <f t="shared" si="92"/>
        <v>56.548667764616276</v>
      </c>
      <c r="M247" s="2">
        <f>L247/O247/H247*100</f>
        <v>0.43498975203550988</v>
      </c>
      <c r="N247" s="2">
        <f>L247*K247</f>
        <v>23467.697122315756</v>
      </c>
      <c r="O247" s="2">
        <v>100</v>
      </c>
      <c r="P247" s="2">
        <f>IF(O247="-","-",O247/E247)</f>
        <v>1</v>
      </c>
      <c r="Q247" s="2">
        <f>IF(O247="-",0,O247/E247)</f>
        <v>1</v>
      </c>
      <c r="R247" s="2">
        <f>IF(S247="-",0,S247*E247*H247/100)</f>
        <v>226.2</v>
      </c>
      <c r="S247" s="2">
        <v>1.74</v>
      </c>
      <c r="T247" s="2">
        <v>415</v>
      </c>
      <c r="U247" s="2">
        <v>1016</v>
      </c>
      <c r="V247" s="2">
        <v>44</v>
      </c>
      <c r="W247" s="2">
        <f>Z247*SIN(AD247*PI()/180)*X247*H247/100</f>
        <v>223.77472987428825</v>
      </c>
      <c r="X247" s="2">
        <v>1.87</v>
      </c>
      <c r="Y247" s="2">
        <f t="shared" si="90"/>
        <v>9846088.1144686826</v>
      </c>
      <c r="Z247" s="2">
        <v>100</v>
      </c>
      <c r="AA247" s="2">
        <f>PI()*8^2/4</f>
        <v>50.26548245743669</v>
      </c>
      <c r="AB247" s="2">
        <f>Z247/E247</f>
        <v>1</v>
      </c>
      <c r="AC247" s="2">
        <v>1</v>
      </c>
      <c r="AD247" s="2">
        <v>67</v>
      </c>
      <c r="AE247" s="2">
        <v>108.83</v>
      </c>
    </row>
    <row r="248" spans="1:31" x14ac:dyDescent="0.3">
      <c r="A248" s="2" t="s">
        <v>90</v>
      </c>
      <c r="B248" s="2" t="s">
        <v>98</v>
      </c>
      <c r="C248" s="2" t="s">
        <v>148</v>
      </c>
      <c r="D248" s="2">
        <v>30</v>
      </c>
      <c r="E248" s="2">
        <v>100</v>
      </c>
      <c r="F248" s="2">
        <v>130</v>
      </c>
      <c r="G248" s="2">
        <v>0</v>
      </c>
      <c r="H248" s="2">
        <v>130</v>
      </c>
      <c r="I248" s="2">
        <f t="shared" si="91"/>
        <v>130</v>
      </c>
      <c r="J248" s="2">
        <v>3.45</v>
      </c>
      <c r="K248" s="2">
        <v>415</v>
      </c>
      <c r="L248" s="2">
        <f t="shared" si="92"/>
        <v>56.548667764616276</v>
      </c>
      <c r="M248" s="2">
        <f>L248/O248/H248*100</f>
        <v>0.43498975203550988</v>
      </c>
      <c r="N248" s="2">
        <f>L248*K248</f>
        <v>23467.697122315756</v>
      </c>
      <c r="O248" s="2">
        <v>100</v>
      </c>
      <c r="P248" s="2">
        <f>IF(O248="-","-",O248/E248)</f>
        <v>1</v>
      </c>
      <c r="Q248" s="2">
        <f>IF(O248="-",0,O248/E248)</f>
        <v>1</v>
      </c>
      <c r="R248" s="2">
        <f>IF(S248="-",0,S248*E248*H248/100)</f>
        <v>226.2</v>
      </c>
      <c r="S248" s="2">
        <v>1.74</v>
      </c>
      <c r="T248" s="2">
        <v>415</v>
      </c>
      <c r="U248" s="2">
        <v>1016</v>
      </c>
      <c r="V248" s="2">
        <v>44</v>
      </c>
      <c r="W248" s="2">
        <f>Z248*SIN(AD248*PI()/180)*X248*H248/100</f>
        <v>349.42364237054636</v>
      </c>
      <c r="X248" s="2">
        <v>2.92</v>
      </c>
      <c r="Y248" s="2">
        <f t="shared" si="90"/>
        <v>15374640.26430404</v>
      </c>
      <c r="Z248" s="2">
        <v>100</v>
      </c>
      <c r="AA248" s="2">
        <f>PI()*10^2/4</f>
        <v>78.539816339744831</v>
      </c>
      <c r="AB248" s="2">
        <f>Z248/E248</f>
        <v>1</v>
      </c>
      <c r="AC248" s="2">
        <v>1</v>
      </c>
      <c r="AD248" s="2">
        <v>67</v>
      </c>
      <c r="AE248" s="2">
        <v>86.45</v>
      </c>
    </row>
    <row r="249" spans="1:31" x14ac:dyDescent="0.3">
      <c r="A249" s="2" t="s">
        <v>84</v>
      </c>
      <c r="B249" s="2" t="s">
        <v>98</v>
      </c>
      <c r="C249" s="2" t="s">
        <v>300</v>
      </c>
      <c r="D249" s="2">
        <v>55</v>
      </c>
      <c r="E249" s="2">
        <v>229</v>
      </c>
      <c r="F249" s="2">
        <v>300</v>
      </c>
      <c r="G249" s="2">
        <v>0</v>
      </c>
      <c r="H249" s="2">
        <v>250</v>
      </c>
      <c r="I249" s="2">
        <f t="shared" si="91"/>
        <v>250</v>
      </c>
      <c r="J249" s="2">
        <v>3.27</v>
      </c>
      <c r="K249" s="2">
        <v>367</v>
      </c>
      <c r="L249" s="2">
        <f t="shared" si="92"/>
        <v>56.548667764616276</v>
      </c>
      <c r="M249" s="2">
        <f>L249/O249/H249*100</f>
        <v>0.15079644737231004</v>
      </c>
      <c r="N249" s="2">
        <f>L249*K249</f>
        <v>20753.361069614173</v>
      </c>
      <c r="O249" s="2">
        <v>150</v>
      </c>
      <c r="P249" s="2">
        <f>IF(O249="-","-",O249/E249)</f>
        <v>0.65502183406113534</v>
      </c>
      <c r="Q249" s="2">
        <f>IF(O249="-",0,O249/E249)</f>
        <v>0.65502183406113534</v>
      </c>
      <c r="R249" s="2">
        <f t="shared" ref="R249:R255" si="93">20^2*PI()/4*4</f>
        <v>1256.6370614359173</v>
      </c>
      <c r="S249" s="2">
        <f>R249/E249/H249*100</f>
        <v>2.1949992339492006</v>
      </c>
      <c r="T249" s="2">
        <v>477</v>
      </c>
      <c r="U249" s="2" t="s">
        <v>210</v>
      </c>
      <c r="V249" s="2" t="s">
        <v>210</v>
      </c>
      <c r="W249" s="2">
        <v>0</v>
      </c>
      <c r="X249" s="2">
        <v>0</v>
      </c>
      <c r="Y249" s="2">
        <v>0</v>
      </c>
      <c r="Z249" s="2" t="s">
        <v>210</v>
      </c>
      <c r="AA249" s="2" t="s">
        <v>210</v>
      </c>
      <c r="AB249" s="2">
        <v>5</v>
      </c>
      <c r="AC249" s="2">
        <v>1</v>
      </c>
      <c r="AD249" s="2">
        <v>90</v>
      </c>
      <c r="AE249" s="2">
        <v>148.965</v>
      </c>
    </row>
    <row r="250" spans="1:31" x14ac:dyDescent="0.3">
      <c r="A250" s="2" t="s">
        <v>84</v>
      </c>
      <c r="B250" s="2" t="s">
        <v>98</v>
      </c>
      <c r="C250" s="2" t="s">
        <v>297</v>
      </c>
      <c r="D250" s="2">
        <v>55</v>
      </c>
      <c r="E250" s="2">
        <v>229</v>
      </c>
      <c r="F250" s="2">
        <v>300</v>
      </c>
      <c r="G250" s="2">
        <v>0</v>
      </c>
      <c r="H250" s="2">
        <v>250</v>
      </c>
      <c r="I250" s="2">
        <f t="shared" si="91"/>
        <v>250</v>
      </c>
      <c r="J250" s="2">
        <v>3.27</v>
      </c>
      <c r="K250" s="2">
        <v>367</v>
      </c>
      <c r="L250" s="2">
        <f t="shared" si="92"/>
        <v>56.548667764616276</v>
      </c>
      <c r="M250" s="2">
        <f>L250/O250/H250*100</f>
        <v>0.15079644737231004</v>
      </c>
      <c r="N250" s="2">
        <f>L250*K250</f>
        <v>20753.361069614173</v>
      </c>
      <c r="O250" s="2">
        <v>150</v>
      </c>
      <c r="P250" s="2">
        <f>IF(O250="-","-",O250/E250)</f>
        <v>0.65502183406113534</v>
      </c>
      <c r="Q250" s="2">
        <f>IF(O250="-",0,O250/E250)</f>
        <v>0.65502183406113534</v>
      </c>
      <c r="R250" s="2">
        <f t="shared" si="93"/>
        <v>1256.6370614359173</v>
      </c>
      <c r="S250" s="2">
        <f>R250/E250/H250*100</f>
        <v>2.1949992339492006</v>
      </c>
      <c r="T250" s="2">
        <v>477</v>
      </c>
      <c r="U250" s="2">
        <v>1100</v>
      </c>
      <c r="V250" s="2">
        <v>68.599999999999994</v>
      </c>
      <c r="W250" s="2">
        <f t="shared" ref="W250:W255" si="94">AA250*2</f>
        <v>100.53096491487338</v>
      </c>
      <c r="X250" s="2">
        <f>W250/Z250/H250*100/SIN(AD250*PI()/180)</f>
        <v>0.53616514621265798</v>
      </c>
      <c r="Y250" s="2">
        <f t="shared" ref="Y250:Y255" si="95">W250*V250*1000</f>
        <v>6896424.1931603132</v>
      </c>
      <c r="Z250" s="2">
        <v>75</v>
      </c>
      <c r="AA250" s="2">
        <f t="shared" ref="AA250:AA255" si="96">PI()*8^2/4</f>
        <v>50.26548245743669</v>
      </c>
      <c r="AB250" s="2">
        <f>Z250/E250</f>
        <v>0.32751091703056767</v>
      </c>
      <c r="AC250" s="2">
        <v>1</v>
      </c>
      <c r="AD250" s="2">
        <v>90</v>
      </c>
      <c r="AE250" s="2">
        <v>194.435</v>
      </c>
    </row>
    <row r="251" spans="1:31" x14ac:dyDescent="0.3">
      <c r="A251" s="2" t="s">
        <v>84</v>
      </c>
      <c r="B251" s="2" t="s">
        <v>98</v>
      </c>
      <c r="C251" s="2" t="s">
        <v>298</v>
      </c>
      <c r="D251" s="2">
        <v>55</v>
      </c>
      <c r="E251" s="2">
        <v>229</v>
      </c>
      <c r="F251" s="2">
        <v>300</v>
      </c>
      <c r="G251" s="2">
        <v>0</v>
      </c>
      <c r="H251" s="2">
        <v>250</v>
      </c>
      <c r="I251" s="2">
        <f t="shared" si="91"/>
        <v>250</v>
      </c>
      <c r="J251" s="2">
        <v>3.27</v>
      </c>
      <c r="K251" s="2">
        <v>367</v>
      </c>
      <c r="L251" s="2">
        <f t="shared" si="92"/>
        <v>56.548667764616276</v>
      </c>
      <c r="M251" s="2">
        <f>L251/O251/H251*100</f>
        <v>0.15079644737231004</v>
      </c>
      <c r="N251" s="2">
        <f>L251*K251</f>
        <v>20753.361069614173</v>
      </c>
      <c r="O251" s="2">
        <v>150</v>
      </c>
      <c r="P251" s="2">
        <f>IF(O251="-","-",O251/E251)</f>
        <v>0.65502183406113534</v>
      </c>
      <c r="Q251" s="2">
        <f>IF(O251="-",0,O251/E251)</f>
        <v>0.65502183406113534</v>
      </c>
      <c r="R251" s="2">
        <f t="shared" si="93"/>
        <v>1256.6370614359173</v>
      </c>
      <c r="S251" s="2">
        <f>R251/E251/H251*100</f>
        <v>2.1949992339492006</v>
      </c>
      <c r="T251" s="2">
        <v>477</v>
      </c>
      <c r="U251" s="2">
        <v>1100</v>
      </c>
      <c r="V251" s="2">
        <v>68.599999999999994</v>
      </c>
      <c r="W251" s="2">
        <f t="shared" si="94"/>
        <v>100.53096491487338</v>
      </c>
      <c r="X251" s="2">
        <f>W251/Z251/H251*100/SIN(AD251*PI()/180)</f>
        <v>0.26808257310632899</v>
      </c>
      <c r="Y251" s="2">
        <f t="shared" si="95"/>
        <v>6896424.1931603132</v>
      </c>
      <c r="Z251" s="2">
        <v>150</v>
      </c>
      <c r="AA251" s="2">
        <f t="shared" si="96"/>
        <v>50.26548245743669</v>
      </c>
      <c r="AB251" s="2">
        <f>Z251/E251</f>
        <v>0.65502183406113534</v>
      </c>
      <c r="AC251" s="2">
        <v>1</v>
      </c>
      <c r="AD251" s="2">
        <v>90</v>
      </c>
      <c r="AE251" s="2">
        <v>210.375</v>
      </c>
    </row>
    <row r="252" spans="1:31" x14ac:dyDescent="0.3">
      <c r="A252" s="2" t="s">
        <v>84</v>
      </c>
      <c r="B252" s="2" t="s">
        <v>98</v>
      </c>
      <c r="C252" s="2" t="s">
        <v>299</v>
      </c>
      <c r="D252" s="2">
        <v>55</v>
      </c>
      <c r="E252" s="2">
        <v>229</v>
      </c>
      <c r="F252" s="2">
        <v>300</v>
      </c>
      <c r="G252" s="2">
        <v>0</v>
      </c>
      <c r="H252" s="2">
        <v>250</v>
      </c>
      <c r="I252" s="2">
        <f t="shared" si="91"/>
        <v>250</v>
      </c>
      <c r="J252" s="2">
        <v>3.27</v>
      </c>
      <c r="K252" s="2">
        <v>367</v>
      </c>
      <c r="L252" s="2">
        <f t="shared" si="92"/>
        <v>56.548667764616276</v>
      </c>
      <c r="M252" s="2">
        <f>L252/O252/H252*100</f>
        <v>0.15079644737231004</v>
      </c>
      <c r="N252" s="2">
        <f>L252*K252</f>
        <v>20753.361069614173</v>
      </c>
      <c r="O252" s="2">
        <v>150</v>
      </c>
      <c r="P252" s="2">
        <f>IF(O252="-","-",O252/E252)</f>
        <v>0.65502183406113534</v>
      </c>
      <c r="Q252" s="2">
        <f>IF(O252="-",0,O252/E252)</f>
        <v>0.65502183406113534</v>
      </c>
      <c r="R252" s="2">
        <f t="shared" si="93"/>
        <v>1256.6370614359173</v>
      </c>
      <c r="S252" s="2">
        <f>R252/E252/H252*100</f>
        <v>2.1949992339492006</v>
      </c>
      <c r="T252" s="2">
        <v>477</v>
      </c>
      <c r="U252" s="2">
        <v>1100</v>
      </c>
      <c r="V252" s="2">
        <v>68.599999999999994</v>
      </c>
      <c r="W252" s="2">
        <f t="shared" si="94"/>
        <v>100.53096491487338</v>
      </c>
      <c r="X252" s="2">
        <f>W252/Z252/H252*100/SIN(AD252*PI()/180)</f>
        <v>0.18956300536142362</v>
      </c>
      <c r="Y252" s="2">
        <f t="shared" si="95"/>
        <v>6896424.1931603132</v>
      </c>
      <c r="Z252" s="2">
        <v>300</v>
      </c>
      <c r="AA252" s="2">
        <f t="shared" si="96"/>
        <v>50.26548245743669</v>
      </c>
      <c r="AB252" s="2">
        <f>Z252/E252</f>
        <v>1.3100436681222707</v>
      </c>
      <c r="AC252" s="2">
        <v>1</v>
      </c>
      <c r="AD252" s="2">
        <v>45</v>
      </c>
      <c r="AE252" s="2">
        <v>192.86500000000001</v>
      </c>
    </row>
    <row r="253" spans="1:31" x14ac:dyDescent="0.3">
      <c r="A253" s="2" t="s">
        <v>84</v>
      </c>
      <c r="B253" s="2" t="s">
        <v>98</v>
      </c>
      <c r="C253" s="2" t="s">
        <v>149</v>
      </c>
      <c r="D253" s="2">
        <v>55</v>
      </c>
      <c r="E253" s="2">
        <v>229</v>
      </c>
      <c r="F253" s="2">
        <v>300</v>
      </c>
      <c r="G253" s="2">
        <v>0</v>
      </c>
      <c r="H253" s="2">
        <v>250</v>
      </c>
      <c r="I253" s="2">
        <f t="shared" si="91"/>
        <v>250</v>
      </c>
      <c r="J253" s="2">
        <v>3.27</v>
      </c>
      <c r="K253" s="2">
        <v>367</v>
      </c>
      <c r="L253" s="2">
        <f t="shared" si="92"/>
        <v>56.548667764616276</v>
      </c>
      <c r="M253" s="2">
        <f>L253/O253/H253*100</f>
        <v>0.15079644737231004</v>
      </c>
      <c r="N253" s="2">
        <f>L253*K253</f>
        <v>20753.361069614173</v>
      </c>
      <c r="O253" s="2">
        <v>150</v>
      </c>
      <c r="P253" s="2">
        <f>IF(O253="-","-",O253/E253)</f>
        <v>0.65502183406113534</v>
      </c>
      <c r="Q253" s="2">
        <f>IF(O253="-",0,O253/E253)</f>
        <v>0.65502183406113534</v>
      </c>
      <c r="R253" s="2">
        <f t="shared" si="93"/>
        <v>1256.6370614359173</v>
      </c>
      <c r="S253" s="2">
        <f>R253/E253/H253*100</f>
        <v>2.1949992339492006</v>
      </c>
      <c r="T253" s="2">
        <v>477</v>
      </c>
      <c r="U253" s="2">
        <v>2500</v>
      </c>
      <c r="V253" s="2">
        <v>72.400000000000006</v>
      </c>
      <c r="W253" s="2">
        <f t="shared" si="94"/>
        <v>100.53096491487338</v>
      </c>
      <c r="X253" s="2">
        <f>W253/Z253/H253*100/SIN(AD253*PI()/180)</f>
        <v>0.53616514621265798</v>
      </c>
      <c r="Y253" s="2">
        <f t="shared" si="95"/>
        <v>7278441.8598368326</v>
      </c>
      <c r="Z253" s="2">
        <v>75</v>
      </c>
      <c r="AA253" s="2">
        <f t="shared" si="96"/>
        <v>50.26548245743669</v>
      </c>
      <c r="AB253" s="2">
        <f>Z253/E253</f>
        <v>0.32751091703056767</v>
      </c>
      <c r="AC253" s="2">
        <v>1</v>
      </c>
      <c r="AD253" s="2">
        <v>90</v>
      </c>
      <c r="AE253" s="2">
        <v>196.5</v>
      </c>
    </row>
    <row r="254" spans="1:31" x14ac:dyDescent="0.3">
      <c r="A254" s="2" t="s">
        <v>84</v>
      </c>
      <c r="B254" s="2" t="s">
        <v>98</v>
      </c>
      <c r="C254" s="2" t="s">
        <v>150</v>
      </c>
      <c r="D254" s="2">
        <v>55</v>
      </c>
      <c r="E254" s="2">
        <v>229</v>
      </c>
      <c r="F254" s="2">
        <v>300</v>
      </c>
      <c r="G254" s="2">
        <v>0</v>
      </c>
      <c r="H254" s="2">
        <v>250</v>
      </c>
      <c r="I254" s="2">
        <f t="shared" si="91"/>
        <v>250</v>
      </c>
      <c r="J254" s="2">
        <v>3.27</v>
      </c>
      <c r="K254" s="2">
        <v>367</v>
      </c>
      <c r="L254" s="2">
        <f t="shared" si="92"/>
        <v>56.548667764616276</v>
      </c>
      <c r="M254" s="2">
        <f>L254/O254/H254*100</f>
        <v>0.15079644737231004</v>
      </c>
      <c r="N254" s="2">
        <f>L254*K254</f>
        <v>20753.361069614173</v>
      </c>
      <c r="O254" s="2">
        <v>150</v>
      </c>
      <c r="P254" s="2">
        <f>IF(O254="-","-",O254/E254)</f>
        <v>0.65502183406113534</v>
      </c>
      <c r="Q254" s="2">
        <f>IF(O254="-",0,O254/E254)</f>
        <v>0.65502183406113534</v>
      </c>
      <c r="R254" s="2">
        <f t="shared" si="93"/>
        <v>1256.6370614359173</v>
      </c>
      <c r="S254" s="2">
        <f>R254/E254/H254*100</f>
        <v>2.1949992339492006</v>
      </c>
      <c r="T254" s="2">
        <v>477</v>
      </c>
      <c r="U254" s="2">
        <v>2500</v>
      </c>
      <c r="V254" s="2">
        <v>72.400000000000006</v>
      </c>
      <c r="W254" s="2">
        <f t="shared" si="94"/>
        <v>100.53096491487338</v>
      </c>
      <c r="X254" s="2">
        <f>W254/Z254/H254*100/SIN(AD254*PI()/180)</f>
        <v>0.26808257310632899</v>
      </c>
      <c r="Y254" s="2">
        <f t="shared" si="95"/>
        <v>7278441.8598368326</v>
      </c>
      <c r="Z254" s="2">
        <v>150</v>
      </c>
      <c r="AA254" s="2">
        <f t="shared" si="96"/>
        <v>50.26548245743669</v>
      </c>
      <c r="AB254" s="2">
        <f>Z254/E254</f>
        <v>0.65502183406113534</v>
      </c>
      <c r="AC254" s="2">
        <v>1</v>
      </c>
      <c r="AD254" s="2">
        <v>90</v>
      </c>
      <c r="AE254" s="2">
        <v>192.72</v>
      </c>
    </row>
    <row r="255" spans="1:31" x14ac:dyDescent="0.3">
      <c r="A255" s="2" t="s">
        <v>84</v>
      </c>
      <c r="B255" s="2" t="s">
        <v>98</v>
      </c>
      <c r="C255" s="2" t="s">
        <v>151</v>
      </c>
      <c r="D255" s="2">
        <v>55</v>
      </c>
      <c r="E255" s="2">
        <v>229</v>
      </c>
      <c r="F255" s="2">
        <v>300</v>
      </c>
      <c r="G255" s="2">
        <v>0</v>
      </c>
      <c r="H255" s="2">
        <v>250</v>
      </c>
      <c r="I255" s="2">
        <f t="shared" si="91"/>
        <v>250</v>
      </c>
      <c r="J255" s="2">
        <v>3.27</v>
      </c>
      <c r="K255" s="2">
        <v>367</v>
      </c>
      <c r="L255" s="2">
        <f t="shared" si="92"/>
        <v>56.548667764616276</v>
      </c>
      <c r="M255" s="2">
        <f>L255/O255/H255*100</f>
        <v>0.15079644737231004</v>
      </c>
      <c r="N255" s="2">
        <f>L255*K255</f>
        <v>20753.361069614173</v>
      </c>
      <c r="O255" s="2">
        <v>150</v>
      </c>
      <c r="P255" s="2">
        <f>IF(O255="-","-",O255/E255)</f>
        <v>0.65502183406113534</v>
      </c>
      <c r="Q255" s="2">
        <f>IF(O255="-",0,O255/E255)</f>
        <v>0.65502183406113534</v>
      </c>
      <c r="R255" s="2">
        <f t="shared" si="93"/>
        <v>1256.6370614359173</v>
      </c>
      <c r="S255" s="2">
        <f>R255/E255/H255*100</f>
        <v>2.1949992339492006</v>
      </c>
      <c r="T255" s="2">
        <v>477</v>
      </c>
      <c r="U255" s="2">
        <v>2500</v>
      </c>
      <c r="V255" s="2">
        <v>72.400000000000006</v>
      </c>
      <c r="W255" s="2">
        <f t="shared" si="94"/>
        <v>100.53096491487338</v>
      </c>
      <c r="X255" s="2">
        <f>W255/Z255/H255*100/SIN(AD255*PI()/180)</f>
        <v>0.18956300536142362</v>
      </c>
      <c r="Y255" s="2">
        <f t="shared" si="95"/>
        <v>7278441.8598368326</v>
      </c>
      <c r="Z255" s="2">
        <v>300</v>
      </c>
      <c r="AA255" s="2">
        <f t="shared" si="96"/>
        <v>50.26548245743669</v>
      </c>
      <c r="AB255" s="2">
        <f>Z255/E255</f>
        <v>1.3100436681222707</v>
      </c>
      <c r="AC255" s="2">
        <v>1</v>
      </c>
      <c r="AD255" s="2">
        <v>45</v>
      </c>
      <c r="AE255" s="2">
        <v>182.66</v>
      </c>
    </row>
    <row r="256" spans="1:31" x14ac:dyDescent="0.3">
      <c r="A256" s="2" t="s">
        <v>205</v>
      </c>
      <c r="B256" s="2" t="s">
        <v>98</v>
      </c>
      <c r="C256" s="2" t="s">
        <v>206</v>
      </c>
      <c r="D256" s="2">
        <v>28.8</v>
      </c>
      <c r="E256" s="2">
        <f>400-30-10-20-7</f>
        <v>333</v>
      </c>
      <c r="F256" s="2">
        <v>400</v>
      </c>
      <c r="G256" s="2">
        <v>0</v>
      </c>
      <c r="H256" s="2">
        <v>180</v>
      </c>
      <c r="I256" s="2">
        <f t="shared" si="91"/>
        <v>180</v>
      </c>
      <c r="J256" s="2">
        <f>850/E256</f>
        <v>2.5525525525525525</v>
      </c>
      <c r="K256" s="2">
        <v>458</v>
      </c>
      <c r="L256" s="2">
        <f t="shared" si="92"/>
        <v>56.548667764616276</v>
      </c>
      <c r="M256" s="2">
        <f>L256/O256/H256*100</f>
        <v>0.15707963267948966</v>
      </c>
      <c r="N256" s="2">
        <f>L256*K256</f>
        <v>25899.289836194253</v>
      </c>
      <c r="O256" s="2">
        <v>200</v>
      </c>
      <c r="P256" s="2">
        <f>IF(O256="-","-",O256/E256)</f>
        <v>0.60060060060060061</v>
      </c>
      <c r="Q256" s="2">
        <f>IF(O256="-",0,O256/E256)</f>
        <v>0.60060060060060061</v>
      </c>
      <c r="R256" s="2">
        <v>1571</v>
      </c>
      <c r="S256" s="2">
        <f>R256/E256/H256*100</f>
        <v>2.6209542876209539</v>
      </c>
      <c r="T256" s="2">
        <v>422</v>
      </c>
      <c r="U256" s="2" t="s">
        <v>210</v>
      </c>
      <c r="V256" s="2" t="s">
        <v>210</v>
      </c>
      <c r="W256" s="2">
        <v>0</v>
      </c>
      <c r="X256" s="2">
        <v>0</v>
      </c>
      <c r="Y256" s="2">
        <v>0</v>
      </c>
      <c r="Z256" s="2" t="s">
        <v>210</v>
      </c>
      <c r="AA256" s="2" t="s">
        <v>210</v>
      </c>
      <c r="AB256" s="2">
        <v>5</v>
      </c>
      <c r="AC256" s="2">
        <v>1</v>
      </c>
      <c r="AD256" s="2">
        <v>90</v>
      </c>
      <c r="AE256" s="2">
        <f>207*1950/2800</f>
        <v>144.16071428571428</v>
      </c>
    </row>
    <row r="257" spans="1:31" x14ac:dyDescent="0.3">
      <c r="A257" s="2" t="s">
        <v>205</v>
      </c>
      <c r="B257" s="2" t="s">
        <v>98</v>
      </c>
      <c r="C257" s="2" t="s">
        <v>207</v>
      </c>
      <c r="D257" s="2">
        <v>29.2</v>
      </c>
      <c r="E257" s="2">
        <f>400-30-10-20-7</f>
        <v>333</v>
      </c>
      <c r="F257" s="2">
        <v>400</v>
      </c>
      <c r="G257" s="2">
        <v>0</v>
      </c>
      <c r="H257" s="2">
        <v>180</v>
      </c>
      <c r="I257" s="2">
        <f t="shared" si="91"/>
        <v>180</v>
      </c>
      <c r="J257" s="2">
        <f>850/E257</f>
        <v>2.5525525525525525</v>
      </c>
      <c r="K257" s="2">
        <v>458</v>
      </c>
      <c r="L257" s="2">
        <f t="shared" si="92"/>
        <v>56.548667764616276</v>
      </c>
      <c r="M257" s="2">
        <f>L257/O257/H257*100</f>
        <v>0.15707963267948966</v>
      </c>
      <c r="N257" s="2">
        <f>L257*K257</f>
        <v>25899.289836194253</v>
      </c>
      <c r="O257" s="2">
        <v>200</v>
      </c>
      <c r="P257" s="2">
        <f>IF(O257="-","-",O257/E257)</f>
        <v>0.60060060060060061</v>
      </c>
      <c r="Q257" s="2">
        <f>IF(O257="-",0,O257/E257)</f>
        <v>0.60060060060060061</v>
      </c>
      <c r="R257" s="2">
        <v>1571</v>
      </c>
      <c r="S257" s="2">
        <f>R257/E257/H257*100</f>
        <v>2.6209542876209539</v>
      </c>
      <c r="T257" s="2">
        <v>422</v>
      </c>
      <c r="U257" s="2">
        <v>2100</v>
      </c>
      <c r="V257" s="2">
        <v>150</v>
      </c>
      <c r="W257" s="2">
        <f>PI()*8^2/4</f>
        <v>50.26548245743669</v>
      </c>
      <c r="X257" s="2">
        <f>W257/Z257/H257*100/SIN(AD257*PI()/180)</f>
        <v>0.16426628254064277</v>
      </c>
      <c r="Y257" s="2">
        <f>W257*V257*1000</f>
        <v>7539822.3686155034</v>
      </c>
      <c r="Z257" s="2">
        <v>170</v>
      </c>
      <c r="AA257" s="2">
        <f>16*2</f>
        <v>32</v>
      </c>
      <c r="AB257" s="2">
        <f>Z257/E257</f>
        <v>0.51051051051051055</v>
      </c>
      <c r="AC257" s="2">
        <v>8</v>
      </c>
      <c r="AD257" s="2">
        <v>90</v>
      </c>
      <c r="AE257" s="2">
        <f>345*1950/2800</f>
        <v>240.26785714285714</v>
      </c>
    </row>
    <row r="258" spans="1:31" x14ac:dyDescent="0.3">
      <c r="A258" s="2" t="s">
        <v>205</v>
      </c>
      <c r="B258" s="2" t="s">
        <v>95</v>
      </c>
      <c r="C258" s="2" t="s">
        <v>208</v>
      </c>
      <c r="D258" s="2">
        <v>29.7</v>
      </c>
      <c r="E258" s="2">
        <f>400-30-10-20-7</f>
        <v>333</v>
      </c>
      <c r="F258" s="2">
        <v>400</v>
      </c>
      <c r="G258" s="2">
        <v>100</v>
      </c>
      <c r="H258" s="2">
        <v>200</v>
      </c>
      <c r="I258" s="2">
        <v>400</v>
      </c>
      <c r="J258" s="2">
        <f>900/E258</f>
        <v>2.7027027027027026</v>
      </c>
      <c r="K258" s="2">
        <v>458</v>
      </c>
      <c r="L258" s="2">
        <f t="shared" si="92"/>
        <v>56.548667764616276</v>
      </c>
      <c r="M258" s="2">
        <f>L258/O258/H258*100</f>
        <v>0.1413716694115407</v>
      </c>
      <c r="N258" s="2">
        <f>L258*K258</f>
        <v>25899.289836194253</v>
      </c>
      <c r="O258" s="2">
        <v>200</v>
      </c>
      <c r="P258" s="2">
        <f>IF(O258="-","-",O258/E258)</f>
        <v>0.60060060060060061</v>
      </c>
      <c r="Q258" s="2">
        <f>IF(O258="-",0,O258/E258)</f>
        <v>0.60060060060060061</v>
      </c>
      <c r="R258" s="2">
        <v>1571</v>
      </c>
      <c r="S258" s="2">
        <f>R258/E258/H258*100</f>
        <v>2.3588588588588588</v>
      </c>
      <c r="T258" s="2">
        <v>422</v>
      </c>
      <c r="U258" s="2" t="s">
        <v>210</v>
      </c>
      <c r="V258" s="2" t="s">
        <v>210</v>
      </c>
      <c r="W258" s="2">
        <v>0</v>
      </c>
      <c r="X258" s="2">
        <v>0</v>
      </c>
      <c r="Y258" s="2">
        <v>0</v>
      </c>
      <c r="Z258" s="2" t="s">
        <v>210</v>
      </c>
      <c r="AA258" s="2" t="s">
        <v>210</v>
      </c>
      <c r="AB258" s="2">
        <v>5</v>
      </c>
      <c r="AC258" s="2">
        <v>1</v>
      </c>
      <c r="AD258" s="2">
        <v>90</v>
      </c>
      <c r="AE258" s="2">
        <f>264*1900/2800</f>
        <v>179.14285714285714</v>
      </c>
    </row>
    <row r="259" spans="1:31" x14ac:dyDescent="0.3">
      <c r="A259" s="2" t="s">
        <v>205</v>
      </c>
      <c r="B259" s="2" t="s">
        <v>95</v>
      </c>
      <c r="C259" s="2" t="s">
        <v>209</v>
      </c>
      <c r="D259" s="2">
        <v>29.2</v>
      </c>
      <c r="E259" s="2">
        <f>400-30-10-20-7</f>
        <v>333</v>
      </c>
      <c r="F259" s="2">
        <v>400</v>
      </c>
      <c r="G259" s="2">
        <v>100</v>
      </c>
      <c r="H259" s="2">
        <v>200</v>
      </c>
      <c r="I259" s="2">
        <v>400</v>
      </c>
      <c r="J259" s="2">
        <f>900/E259</f>
        <v>2.7027027027027026</v>
      </c>
      <c r="K259" s="2">
        <v>458</v>
      </c>
      <c r="L259" s="2">
        <f t="shared" si="92"/>
        <v>56.548667764616276</v>
      </c>
      <c r="M259" s="2">
        <f>L259/O259/H259*100</f>
        <v>0.1413716694115407</v>
      </c>
      <c r="N259" s="2">
        <f>L259*K259</f>
        <v>25899.289836194253</v>
      </c>
      <c r="O259" s="2">
        <v>200</v>
      </c>
      <c r="P259" s="2">
        <f>IF(O259="-","-",O259/E259)</f>
        <v>0.60060060060060061</v>
      </c>
      <c r="Q259" s="2">
        <f>IF(O259="-",0,O259/E259)</f>
        <v>0.60060060060060061</v>
      </c>
      <c r="R259" s="2">
        <v>1571</v>
      </c>
      <c r="S259" s="2">
        <f>R259/E259/H259*100</f>
        <v>2.3588588588588588</v>
      </c>
      <c r="T259" s="2">
        <v>422</v>
      </c>
      <c r="U259" s="2">
        <v>2100</v>
      </c>
      <c r="V259" s="2">
        <v>150</v>
      </c>
      <c r="W259" s="2">
        <f>PI()*8^2/4</f>
        <v>50.26548245743669</v>
      </c>
      <c r="X259" s="2">
        <f>W259/Z259/H259*100/SIN(AD259*PI()/180)</f>
        <v>0.13962634015954636</v>
      </c>
      <c r="Y259" s="2">
        <f>W259*V259*1000</f>
        <v>7539822.3686155034</v>
      </c>
      <c r="Z259" s="2">
        <v>180</v>
      </c>
      <c r="AA259" s="2">
        <f>16*2</f>
        <v>32</v>
      </c>
      <c r="AB259" s="2">
        <f>Z259/E259</f>
        <v>0.54054054054054057</v>
      </c>
      <c r="AC259" s="2">
        <v>8</v>
      </c>
      <c r="AD259" s="2">
        <v>90</v>
      </c>
      <c r="AE259" s="2">
        <f>300*1900/2800</f>
        <v>203.57142857142858</v>
      </c>
    </row>
    <row r="260" spans="1:31" x14ac:dyDescent="0.3">
      <c r="A260" s="2" t="s">
        <v>321</v>
      </c>
      <c r="B260" s="2"/>
      <c r="C260" s="2" t="s">
        <v>35</v>
      </c>
      <c r="D260" s="2">
        <f t="shared" ref="D260:D267" si="97">42.2*0.8</f>
        <v>33.760000000000005</v>
      </c>
      <c r="E260" s="2">
        <v>300</v>
      </c>
      <c r="F260" s="2">
        <v>340</v>
      </c>
      <c r="G260" s="2">
        <v>0</v>
      </c>
      <c r="H260" s="2">
        <v>200</v>
      </c>
      <c r="I260" s="2">
        <v>200</v>
      </c>
      <c r="J260" s="2">
        <v>2</v>
      </c>
      <c r="K260" s="2">
        <v>324</v>
      </c>
      <c r="L260" s="2">
        <f t="shared" ref="L260:L267" si="98">2*PI()*6.5^2/4</f>
        <v>66.366144807084382</v>
      </c>
      <c r="M260" s="2">
        <f>L260/O260/H260*100</f>
        <v>0.11061024134514065</v>
      </c>
      <c r="N260" s="2">
        <v>21600</v>
      </c>
      <c r="O260" s="2">
        <v>300</v>
      </c>
      <c r="P260" s="2">
        <f>IF(O260="-","-",IF(N260=0,"-",O260/E260))</f>
        <v>1</v>
      </c>
      <c r="Q260" s="2">
        <v>1</v>
      </c>
      <c r="R260" s="2">
        <f t="shared" ref="R260:R267" si="99">3*PI()/4*22^2</f>
        <v>1140.398133253095</v>
      </c>
      <c r="S260" s="2">
        <f>R260/E260/H260*100</f>
        <v>1.9006635554218247</v>
      </c>
      <c r="T260" s="2">
        <v>441</v>
      </c>
      <c r="U260" s="2" t="s">
        <v>210</v>
      </c>
      <c r="V260" s="2" t="s">
        <v>210</v>
      </c>
      <c r="W260" s="2">
        <v>0</v>
      </c>
      <c r="X260" s="2">
        <v>0</v>
      </c>
      <c r="Y260" s="2">
        <v>0</v>
      </c>
      <c r="Z260" s="2" t="s">
        <v>210</v>
      </c>
      <c r="AA260" s="2" t="s">
        <v>210</v>
      </c>
      <c r="AB260" s="2">
        <v>5</v>
      </c>
      <c r="AC260" s="2">
        <v>1</v>
      </c>
      <c r="AD260" s="2">
        <v>90</v>
      </c>
      <c r="AE260" s="2">
        <v>116.5</v>
      </c>
    </row>
    <row r="261" spans="1:31" x14ac:dyDescent="0.3">
      <c r="A261" s="2" t="s">
        <v>321</v>
      </c>
      <c r="B261" s="2"/>
      <c r="C261" s="2" t="s">
        <v>301</v>
      </c>
      <c r="D261" s="2">
        <f t="shared" si="97"/>
        <v>33.760000000000005</v>
      </c>
      <c r="E261" s="2">
        <v>300</v>
      </c>
      <c r="F261" s="2">
        <v>340</v>
      </c>
      <c r="G261" s="2">
        <v>0</v>
      </c>
      <c r="H261" s="2">
        <v>200</v>
      </c>
      <c r="I261" s="2">
        <v>200</v>
      </c>
      <c r="J261" s="2">
        <v>2</v>
      </c>
      <c r="K261" s="2">
        <v>324</v>
      </c>
      <c r="L261" s="2">
        <f t="shared" si="98"/>
        <v>66.366144807084382</v>
      </c>
      <c r="M261" s="2">
        <f>L261/O261/H261*100</f>
        <v>0.11061024134514065</v>
      </c>
      <c r="N261" s="2">
        <v>21600</v>
      </c>
      <c r="O261" s="2">
        <v>300</v>
      </c>
      <c r="P261" s="2">
        <f>IF(O261="-","-",IF(N261=0,"-",O261/E261))</f>
        <v>1</v>
      </c>
      <c r="Q261" s="2">
        <v>1</v>
      </c>
      <c r="R261" s="2">
        <f t="shared" si="99"/>
        <v>1140.398133253095</v>
      </c>
      <c r="S261" s="2">
        <f>R261/E261/H261*100</f>
        <v>1.9006635554218247</v>
      </c>
      <c r="T261" s="2">
        <v>441</v>
      </c>
      <c r="U261" s="2" t="s">
        <v>210</v>
      </c>
      <c r="V261" s="2" t="s">
        <v>210</v>
      </c>
      <c r="W261" s="2">
        <v>0</v>
      </c>
      <c r="X261" s="2">
        <v>0</v>
      </c>
      <c r="Y261" s="2">
        <v>0</v>
      </c>
      <c r="Z261" s="2" t="s">
        <v>210</v>
      </c>
      <c r="AA261" s="2" t="s">
        <v>210</v>
      </c>
      <c r="AB261" s="2">
        <v>5</v>
      </c>
      <c r="AC261" s="2">
        <v>1</v>
      </c>
      <c r="AD261" s="2">
        <v>90</v>
      </c>
      <c r="AE261" s="2">
        <v>162.5</v>
      </c>
    </row>
    <row r="262" spans="1:31" x14ac:dyDescent="0.3">
      <c r="A262" s="2" t="s">
        <v>321</v>
      </c>
      <c r="B262" s="2"/>
      <c r="C262" s="2" t="s">
        <v>36</v>
      </c>
      <c r="D262" s="2">
        <f t="shared" si="97"/>
        <v>33.760000000000005</v>
      </c>
      <c r="E262" s="2">
        <v>300</v>
      </c>
      <c r="F262" s="2">
        <v>340</v>
      </c>
      <c r="G262" s="2">
        <v>0</v>
      </c>
      <c r="H262" s="2">
        <v>200</v>
      </c>
      <c r="I262" s="2">
        <v>200</v>
      </c>
      <c r="J262" s="2">
        <v>2</v>
      </c>
      <c r="K262" s="2">
        <v>324</v>
      </c>
      <c r="L262" s="2">
        <f t="shared" si="98"/>
        <v>66.366144807084382</v>
      </c>
      <c r="M262" s="2">
        <f>L262/O262/H262*100</f>
        <v>0.11061024134514065</v>
      </c>
      <c r="N262" s="2">
        <v>21600</v>
      </c>
      <c r="O262" s="2">
        <v>300</v>
      </c>
      <c r="P262" s="2">
        <f>IF(O262="-","-",IF(N262=0,"-",O262/E262))</f>
        <v>1</v>
      </c>
      <c r="Q262" s="2">
        <v>1</v>
      </c>
      <c r="R262" s="2">
        <f t="shared" si="99"/>
        <v>1140.398133253095</v>
      </c>
      <c r="S262" s="2">
        <f>R262/E262/H262*100</f>
        <v>1.9006635554218247</v>
      </c>
      <c r="T262" s="2">
        <v>441</v>
      </c>
      <c r="U262" s="2">
        <v>1800</v>
      </c>
      <c r="V262" s="2">
        <v>140</v>
      </c>
      <c r="W262" s="2">
        <f t="shared" ref="W262:W267" si="100">AA262*2</f>
        <v>100.53096491487338</v>
      </c>
      <c r="X262" s="2">
        <f>W262/Z262/H262*100/SIN(AD262*PI()/180)</f>
        <v>0.25132741228718347</v>
      </c>
      <c r="Y262" s="2">
        <f t="shared" ref="Y262:Y267" si="101">W262*V262*1000</f>
        <v>14074335.088082273</v>
      </c>
      <c r="Z262" s="2">
        <v>200</v>
      </c>
      <c r="AA262" s="2">
        <f t="shared" ref="AA262:AA267" si="102">PI()*8^2/4</f>
        <v>50.26548245743669</v>
      </c>
      <c r="AB262" s="2">
        <v>0.67</v>
      </c>
      <c r="AC262" s="2">
        <v>1</v>
      </c>
      <c r="AD262" s="2">
        <v>90</v>
      </c>
      <c r="AE262" s="2">
        <v>175.5</v>
      </c>
    </row>
    <row r="263" spans="1:31" x14ac:dyDescent="0.3">
      <c r="A263" s="2" t="s">
        <v>321</v>
      </c>
      <c r="B263" s="2"/>
      <c r="C263" s="2" t="s">
        <v>37</v>
      </c>
      <c r="D263" s="2">
        <f t="shared" si="97"/>
        <v>33.760000000000005</v>
      </c>
      <c r="E263" s="2">
        <v>300</v>
      </c>
      <c r="F263" s="2">
        <v>340</v>
      </c>
      <c r="G263" s="2">
        <v>0</v>
      </c>
      <c r="H263" s="2">
        <v>200</v>
      </c>
      <c r="I263" s="2">
        <v>200</v>
      </c>
      <c r="J263" s="2">
        <v>2</v>
      </c>
      <c r="K263" s="2">
        <v>324</v>
      </c>
      <c r="L263" s="2">
        <f t="shared" si="98"/>
        <v>66.366144807084382</v>
      </c>
      <c r="M263" s="2">
        <f>L263/O263/H263*100</f>
        <v>0.11061024134514065</v>
      </c>
      <c r="N263" s="2">
        <v>21600</v>
      </c>
      <c r="O263" s="2">
        <v>300</v>
      </c>
      <c r="P263" s="2">
        <f>IF(O263="-","-",IF(N263=0,"-",O263/E263))</f>
        <v>1</v>
      </c>
      <c r="Q263" s="2">
        <v>1</v>
      </c>
      <c r="R263" s="2">
        <f t="shared" si="99"/>
        <v>1140.398133253095</v>
      </c>
      <c r="S263" s="2">
        <f>R263/E263/H263*100</f>
        <v>1.9006635554218247</v>
      </c>
      <c r="T263" s="2">
        <v>441</v>
      </c>
      <c r="U263" s="2">
        <v>1800</v>
      </c>
      <c r="V263" s="2">
        <v>140</v>
      </c>
      <c r="W263" s="2">
        <f t="shared" si="100"/>
        <v>100.53096491487338</v>
      </c>
      <c r="X263" s="2">
        <f>W263/Z263/H263*100/SIN(AD263*PI()/180)</f>
        <v>0.33510321638291124</v>
      </c>
      <c r="Y263" s="2">
        <f t="shared" si="101"/>
        <v>14074335.088082273</v>
      </c>
      <c r="Z263" s="2">
        <f>AB263*E263</f>
        <v>150</v>
      </c>
      <c r="AA263" s="2">
        <f t="shared" si="102"/>
        <v>50.26548245743669</v>
      </c>
      <c r="AB263" s="2">
        <v>0.5</v>
      </c>
      <c r="AC263" s="2">
        <v>1</v>
      </c>
      <c r="AD263" s="2">
        <v>90</v>
      </c>
      <c r="AE263" s="2">
        <v>235</v>
      </c>
    </row>
    <row r="264" spans="1:31" x14ac:dyDescent="0.3">
      <c r="A264" s="2" t="s">
        <v>321</v>
      </c>
      <c r="B264" s="2"/>
      <c r="C264" s="2" t="s">
        <v>302</v>
      </c>
      <c r="D264" s="2">
        <f t="shared" si="97"/>
        <v>33.760000000000005</v>
      </c>
      <c r="E264" s="2">
        <v>300</v>
      </c>
      <c r="F264" s="2">
        <v>340</v>
      </c>
      <c r="G264" s="2">
        <v>0</v>
      </c>
      <c r="H264" s="2">
        <v>200</v>
      </c>
      <c r="I264" s="2">
        <v>200</v>
      </c>
      <c r="J264" s="2">
        <v>2</v>
      </c>
      <c r="K264" s="2">
        <v>324</v>
      </c>
      <c r="L264" s="2">
        <f t="shared" si="98"/>
        <v>66.366144807084382</v>
      </c>
      <c r="M264" s="2">
        <f>L264/O264/H264*100</f>
        <v>0.11061024134514065</v>
      </c>
      <c r="N264" s="2">
        <v>21600</v>
      </c>
      <c r="O264" s="2">
        <v>300</v>
      </c>
      <c r="P264" s="2">
        <f>IF(O264="-","-",IF(N264=0,"-",O264/E264))</f>
        <v>1</v>
      </c>
      <c r="Q264" s="2">
        <v>1</v>
      </c>
      <c r="R264" s="2">
        <f t="shared" si="99"/>
        <v>1140.398133253095</v>
      </c>
      <c r="S264" s="2">
        <f>R264/E264/H264*100</f>
        <v>1.9006635554218247</v>
      </c>
      <c r="T264" s="2">
        <v>441</v>
      </c>
      <c r="U264" s="2">
        <v>1800</v>
      </c>
      <c r="V264" s="2">
        <v>140</v>
      </c>
      <c r="W264" s="2">
        <f t="shared" si="100"/>
        <v>100.53096491487338</v>
      </c>
      <c r="X264" s="2">
        <f>W264/Z264/H264*100/SIN(AD264*PI()/180)</f>
        <v>0.58041579655494979</v>
      </c>
      <c r="Y264" s="2">
        <f t="shared" si="101"/>
        <v>14074335.088082273</v>
      </c>
      <c r="Z264" s="2">
        <v>100</v>
      </c>
      <c r="AA264" s="2">
        <f t="shared" si="102"/>
        <v>50.26548245743669</v>
      </c>
      <c r="AB264" s="2">
        <v>0.67</v>
      </c>
      <c r="AC264" s="2">
        <v>1</v>
      </c>
      <c r="AD264" s="2">
        <v>60</v>
      </c>
      <c r="AE264" s="2">
        <v>187</v>
      </c>
    </row>
    <row r="265" spans="1:31" x14ac:dyDescent="0.3">
      <c r="A265" s="2" t="s">
        <v>321</v>
      </c>
      <c r="B265" s="2"/>
      <c r="C265" s="2" t="s">
        <v>38</v>
      </c>
      <c r="D265" s="2">
        <f t="shared" si="97"/>
        <v>33.760000000000005</v>
      </c>
      <c r="E265" s="2">
        <v>300</v>
      </c>
      <c r="F265" s="2">
        <v>340</v>
      </c>
      <c r="G265" s="2">
        <v>0</v>
      </c>
      <c r="H265" s="2">
        <v>200</v>
      </c>
      <c r="I265" s="2">
        <v>200</v>
      </c>
      <c r="J265" s="2">
        <v>2</v>
      </c>
      <c r="K265" s="2">
        <v>324</v>
      </c>
      <c r="L265" s="2">
        <f t="shared" si="98"/>
        <v>66.366144807084382</v>
      </c>
      <c r="M265" s="2">
        <f>L265/O265/H265*100</f>
        <v>0.11061024134514065</v>
      </c>
      <c r="N265" s="2">
        <v>21600</v>
      </c>
      <c r="O265" s="2">
        <v>300</v>
      </c>
      <c r="P265" s="2">
        <f>IF(O265="-","-",IF(N265=0,"-",O265/E265))</f>
        <v>1</v>
      </c>
      <c r="Q265" s="2">
        <v>1</v>
      </c>
      <c r="R265" s="2">
        <f t="shared" si="99"/>
        <v>1140.398133253095</v>
      </c>
      <c r="S265" s="2">
        <f>R265/E265/H265*100</f>
        <v>1.9006635554218247</v>
      </c>
      <c r="T265" s="2">
        <v>441</v>
      </c>
      <c r="U265" s="2">
        <v>1800</v>
      </c>
      <c r="V265" s="2">
        <v>140</v>
      </c>
      <c r="W265" s="2">
        <f t="shared" si="100"/>
        <v>100.53096491487338</v>
      </c>
      <c r="X265" s="2">
        <f>W265/Z265/H265*100/SIN(AD265*PI()/180)</f>
        <v>0.25132741228718347</v>
      </c>
      <c r="Y265" s="2">
        <f t="shared" si="101"/>
        <v>14074335.088082273</v>
      </c>
      <c r="Z265" s="2">
        <v>200</v>
      </c>
      <c r="AA265" s="2">
        <f t="shared" si="102"/>
        <v>50.26548245743669</v>
      </c>
      <c r="AB265" s="2">
        <v>0.67</v>
      </c>
      <c r="AC265" s="2">
        <v>1</v>
      </c>
      <c r="AD265" s="2">
        <v>90</v>
      </c>
      <c r="AE265" s="2">
        <v>206</v>
      </c>
    </row>
    <row r="266" spans="1:31" x14ac:dyDescent="0.3">
      <c r="A266" s="2" t="s">
        <v>321</v>
      </c>
      <c r="B266" s="2"/>
      <c r="C266" s="2" t="s">
        <v>39</v>
      </c>
      <c r="D266" s="2">
        <f t="shared" si="97"/>
        <v>33.760000000000005</v>
      </c>
      <c r="E266" s="2">
        <v>300</v>
      </c>
      <c r="F266" s="2">
        <v>340</v>
      </c>
      <c r="G266" s="2">
        <v>0</v>
      </c>
      <c r="H266" s="2">
        <v>200</v>
      </c>
      <c r="I266" s="2">
        <v>200</v>
      </c>
      <c r="J266" s="2">
        <v>2</v>
      </c>
      <c r="K266" s="2">
        <v>324</v>
      </c>
      <c r="L266" s="2">
        <f t="shared" si="98"/>
        <v>66.366144807084382</v>
      </c>
      <c r="M266" s="2">
        <f>L266/O266/H266*100</f>
        <v>0.11061024134514065</v>
      </c>
      <c r="N266" s="2">
        <v>21600</v>
      </c>
      <c r="O266" s="2">
        <v>300</v>
      </c>
      <c r="P266" s="2">
        <f>IF(O266="-","-",IF(N266=0,"-",O266/E266))</f>
        <v>1</v>
      </c>
      <c r="Q266" s="2">
        <v>1</v>
      </c>
      <c r="R266" s="2">
        <f t="shared" si="99"/>
        <v>1140.398133253095</v>
      </c>
      <c r="S266" s="2">
        <f>R266/E266/H266*100</f>
        <v>1.9006635554218247</v>
      </c>
      <c r="T266" s="2">
        <v>441</v>
      </c>
      <c r="U266" s="2">
        <v>700</v>
      </c>
      <c r="V266" s="2">
        <v>50</v>
      </c>
      <c r="W266" s="2">
        <f t="shared" si="100"/>
        <v>100.53096491487338</v>
      </c>
      <c r="X266" s="2">
        <f>W266/Z266/H266*100/SIN(AD266*PI()/180)</f>
        <v>0.2902078982774749</v>
      </c>
      <c r="Y266" s="2">
        <f t="shared" si="101"/>
        <v>5026548.2457436696</v>
      </c>
      <c r="Z266" s="2">
        <v>200</v>
      </c>
      <c r="AA266" s="2">
        <f t="shared" si="102"/>
        <v>50.26548245743669</v>
      </c>
      <c r="AB266" s="2">
        <v>0.67</v>
      </c>
      <c r="AC266" s="2">
        <v>1</v>
      </c>
      <c r="AD266" s="2">
        <v>60</v>
      </c>
      <c r="AE266" s="2">
        <v>200</v>
      </c>
    </row>
    <row r="267" spans="1:31" x14ac:dyDescent="0.3">
      <c r="A267" s="2" t="s">
        <v>321</v>
      </c>
      <c r="B267" s="2"/>
      <c r="C267" s="2" t="s">
        <v>40</v>
      </c>
      <c r="D267" s="2">
        <f t="shared" si="97"/>
        <v>33.760000000000005</v>
      </c>
      <c r="E267" s="2">
        <v>300</v>
      </c>
      <c r="F267" s="2">
        <v>340</v>
      </c>
      <c r="G267" s="2">
        <v>0</v>
      </c>
      <c r="H267" s="2">
        <v>200</v>
      </c>
      <c r="I267" s="2">
        <v>200</v>
      </c>
      <c r="J267" s="2">
        <v>2</v>
      </c>
      <c r="K267" s="2">
        <v>324</v>
      </c>
      <c r="L267" s="2">
        <f t="shared" si="98"/>
        <v>66.366144807084382</v>
      </c>
      <c r="M267" s="2">
        <f>L267/O267/H267*100</f>
        <v>0.11061024134514065</v>
      </c>
      <c r="N267" s="2">
        <v>21600</v>
      </c>
      <c r="O267" s="2">
        <v>300</v>
      </c>
      <c r="P267" s="2">
        <f>IF(O267="-","-",IF(N267=0,"-",O267/E267))</f>
        <v>1</v>
      </c>
      <c r="Q267" s="2">
        <v>1</v>
      </c>
      <c r="R267" s="2">
        <f t="shared" si="99"/>
        <v>1140.398133253095</v>
      </c>
      <c r="S267" s="2">
        <f>R267/E267/H267*100</f>
        <v>1.9006635554218247</v>
      </c>
      <c r="T267" s="2">
        <v>441</v>
      </c>
      <c r="U267" s="2">
        <v>1800</v>
      </c>
      <c r="V267" s="2">
        <v>140</v>
      </c>
      <c r="W267" s="2">
        <f t="shared" si="100"/>
        <v>100.53096491487338</v>
      </c>
      <c r="X267" s="2">
        <f>W267/Z267/H267*100/SIN(AD267*PI()/180)</f>
        <v>0.35543063505266936</v>
      </c>
      <c r="Y267" s="2">
        <f t="shared" si="101"/>
        <v>14074335.088082273</v>
      </c>
      <c r="Z267" s="2">
        <v>200</v>
      </c>
      <c r="AA267" s="2">
        <f t="shared" si="102"/>
        <v>50.26548245743669</v>
      </c>
      <c r="AB267" s="2">
        <v>0.67</v>
      </c>
      <c r="AC267" s="2">
        <v>1</v>
      </c>
      <c r="AD267" s="2">
        <v>45</v>
      </c>
      <c r="AE267" s="2">
        <v>199</v>
      </c>
    </row>
    <row r="268" spans="1:3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</sheetData>
  <sortState xmlns:xlrd2="http://schemas.microsoft.com/office/spreadsheetml/2017/richdata2" ref="A91:AE149">
    <sortCondition ref="D91:D149"/>
  </sortState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Mohamed Hassan Megahed</dc:creator>
  <cp:lastModifiedBy>Khaled Mohamed Hassan Megahed</cp:lastModifiedBy>
  <dcterms:created xsi:type="dcterms:W3CDTF">2025-01-08T12:07:16Z</dcterms:created>
  <dcterms:modified xsi:type="dcterms:W3CDTF">2025-03-24T17:48:12Z</dcterms:modified>
</cp:coreProperties>
</file>